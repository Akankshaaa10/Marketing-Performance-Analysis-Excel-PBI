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13_ncr:1_{89E77524-A1BA-4AEA-A8D3-419ECEA136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 campaigns" sheetId="1" r:id="rId1"/>
    <sheet name="PIVOT1" sheetId="3" r:id="rId2"/>
    <sheet name="PIVOT2" sheetId="4" r:id="rId3"/>
    <sheet name="PIVOT3" sheetId="5" r:id="rId4"/>
  </sheets>
  <definedNames>
    <definedName name="_xlnm._FilterDatabase" localSheetId="0" hidden="1">'marketing campaigns'!$A$1:$R$1201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2" i="1"/>
  <c r="V3" i="1"/>
  <c r="V4" i="1"/>
  <c r="V2" i="1"/>
  <c r="U3" i="1"/>
  <c r="U4" i="1"/>
  <c r="U2" i="1"/>
  <c r="T3" i="1"/>
  <c r="T4" i="1"/>
  <c r="T2" i="1"/>
</calcChain>
</file>

<file path=xl/sharedStrings.xml><?xml version="1.0" encoding="utf-8"?>
<sst xmlns="http://schemas.openxmlformats.org/spreadsheetml/2006/main" count="6043" uniqueCount="2438">
  <si>
    <t>campaign_id</t>
  </si>
  <si>
    <t>campaign_name</t>
  </si>
  <si>
    <t>marketing_channel</t>
  </si>
  <si>
    <t>campaign_type</t>
  </si>
  <si>
    <t>region</t>
  </si>
  <si>
    <t>start_date</t>
  </si>
  <si>
    <t>end_date</t>
  </si>
  <si>
    <t>impressions</t>
  </si>
  <si>
    <t>clicks</t>
  </si>
  <si>
    <t>conversions</t>
  </si>
  <si>
    <t>ad_spend</t>
  </si>
  <si>
    <t>revenue</t>
  </si>
  <si>
    <t>ctr_percent</t>
  </si>
  <si>
    <t>conversion_rate_percent</t>
  </si>
  <si>
    <t>cpc</t>
  </si>
  <si>
    <t>cpl</t>
  </si>
  <si>
    <t>roas</t>
  </si>
  <si>
    <t>roi_percent</t>
  </si>
  <si>
    <t>CMP0001</t>
  </si>
  <si>
    <t>Mandatory tertiary benchmark</t>
  </si>
  <si>
    <t>Google Ads</t>
  </si>
  <si>
    <t>Awareness</t>
  </si>
  <si>
    <t>UK</t>
  </si>
  <si>
    <t>CMP0002</t>
  </si>
  <si>
    <t>Switchable dedicated task-force</t>
  </si>
  <si>
    <t>LinkedIn Ads</t>
  </si>
  <si>
    <t>India</t>
  </si>
  <si>
    <t>CMP0003</t>
  </si>
  <si>
    <t>Configurable zero tolerance knowledge user</t>
  </si>
  <si>
    <t>Facebook Ads</t>
  </si>
  <si>
    <t>Retention</t>
  </si>
  <si>
    <t>Australia</t>
  </si>
  <si>
    <t>CMP0004</t>
  </si>
  <si>
    <t>Balanced high-level hierarchy</t>
  </si>
  <si>
    <t>Lead Generation</t>
  </si>
  <si>
    <t>CMP0005</t>
  </si>
  <si>
    <t>Sharable zero administration policy</t>
  </si>
  <si>
    <t>Email Marketing</t>
  </si>
  <si>
    <t>Canada</t>
  </si>
  <si>
    <t>CMP0006</t>
  </si>
  <si>
    <t>Networked explicit website</t>
  </si>
  <si>
    <t>USA</t>
  </si>
  <si>
    <t>CMP0007</t>
  </si>
  <si>
    <t>Focused scalable superstructure</t>
  </si>
  <si>
    <t>Instagram Ads</t>
  </si>
  <si>
    <t>CMP0008</t>
  </si>
  <si>
    <t>Profound uniform middleware</t>
  </si>
  <si>
    <t>CMP0009</t>
  </si>
  <si>
    <t>Phased discrete architecture</t>
  </si>
  <si>
    <t>CMP0010</t>
  </si>
  <si>
    <t>Organic explicit product</t>
  </si>
  <si>
    <t>CMP0011</t>
  </si>
  <si>
    <t>Implemented user-facing time-frame</t>
  </si>
  <si>
    <t>CMP0012</t>
  </si>
  <si>
    <t>Persistent tangible conglomeration</t>
  </si>
  <si>
    <t>CMP0013</t>
  </si>
  <si>
    <t>Team-oriented system-worthy concept</t>
  </si>
  <si>
    <t>Conversion</t>
  </si>
  <si>
    <t>CMP0014</t>
  </si>
  <si>
    <t>Synergistic fresh-thinking model</t>
  </si>
  <si>
    <t>CMP0015</t>
  </si>
  <si>
    <t>Fundamental methodical throughput</t>
  </si>
  <si>
    <t>CMP0016</t>
  </si>
  <si>
    <t>Vision-oriented upward-trending budgetary management</t>
  </si>
  <si>
    <t>CMP0017</t>
  </si>
  <si>
    <t>Polarized stable artificial intelligence</t>
  </si>
  <si>
    <t>CMP0018</t>
  </si>
  <si>
    <t>Fully-configurable 24hour model</t>
  </si>
  <si>
    <t>CMP0019</t>
  </si>
  <si>
    <t>Implemented well-modulated info-mediaries</t>
  </si>
  <si>
    <t>CMP0020</t>
  </si>
  <si>
    <t>Sharable eco-centric portal</t>
  </si>
  <si>
    <t>CMP0021</t>
  </si>
  <si>
    <t>De-engineered disintermediate circuit</t>
  </si>
  <si>
    <t>CMP0022</t>
  </si>
  <si>
    <t>Stand-alone high-level standardization</t>
  </si>
  <si>
    <t>CMP0023</t>
  </si>
  <si>
    <t>Decentralized uniform collaboration</t>
  </si>
  <si>
    <t>CMP0024</t>
  </si>
  <si>
    <t>Decentralized systemic task-force</t>
  </si>
  <si>
    <t>CMP0025</t>
  </si>
  <si>
    <t>Team-oriented discrete extranet</t>
  </si>
  <si>
    <t>CMP0026</t>
  </si>
  <si>
    <t>Implemented responsive info-mediaries</t>
  </si>
  <si>
    <t>CMP0027</t>
  </si>
  <si>
    <t>Object-based 5thgeneration attitude</t>
  </si>
  <si>
    <t>CMP0028</t>
  </si>
  <si>
    <t>Fully-configurable actuating architecture</t>
  </si>
  <si>
    <t>CMP0029</t>
  </si>
  <si>
    <t>Synchronized holistic matrices</t>
  </si>
  <si>
    <t>CMP0030</t>
  </si>
  <si>
    <t>Cross-platform solution-oriented throughput</t>
  </si>
  <si>
    <t>CMP0031</t>
  </si>
  <si>
    <t>Implemented system-worthy website</t>
  </si>
  <si>
    <t>CMP0032</t>
  </si>
  <si>
    <t>Function-based object-oriented portal</t>
  </si>
  <si>
    <t>CMP0033</t>
  </si>
  <si>
    <t>Cross-group user-facing Graphic Interface</t>
  </si>
  <si>
    <t>CMP0034</t>
  </si>
  <si>
    <t>Up-sized human-resource workforce</t>
  </si>
  <si>
    <t>CMP0035</t>
  </si>
  <si>
    <t>Profit-focused 5thgeneration pricing structure</t>
  </si>
  <si>
    <t>CMP0036</t>
  </si>
  <si>
    <t>Enterprise-wide 24hour Graphic Interface</t>
  </si>
  <si>
    <t>CMP0037</t>
  </si>
  <si>
    <t>Reactive human-resource approach</t>
  </si>
  <si>
    <t>CMP0038</t>
  </si>
  <si>
    <t>Business-focused bifurcated open system</t>
  </si>
  <si>
    <t>CMP0039</t>
  </si>
  <si>
    <t>Mandatory disintermediate knowledge user</t>
  </si>
  <si>
    <t>CMP0040</t>
  </si>
  <si>
    <t>Cloned solution-oriented hardware</t>
  </si>
  <si>
    <t>CMP0041</t>
  </si>
  <si>
    <t>Enhanced disintermediate leverage</t>
  </si>
  <si>
    <t>CMP0042</t>
  </si>
  <si>
    <t>Public-key well-modulated model</t>
  </si>
  <si>
    <t>CMP0043</t>
  </si>
  <si>
    <t>Diverse intangible focus group</t>
  </si>
  <si>
    <t>CMP0044</t>
  </si>
  <si>
    <t>Right-sized non-volatile implementation</t>
  </si>
  <si>
    <t>CMP0045</t>
  </si>
  <si>
    <t>Visionary systematic database</t>
  </si>
  <si>
    <t>CMP0046</t>
  </si>
  <si>
    <t>Multi-tiered leadingedge service-desk</t>
  </si>
  <si>
    <t>CMP0047</t>
  </si>
  <si>
    <t>Customer-focused eco-centric service-desk</t>
  </si>
  <si>
    <t>CMP0048</t>
  </si>
  <si>
    <t>Re-contextualized actuating workforce</t>
  </si>
  <si>
    <t>CMP0049</t>
  </si>
  <si>
    <t>Visionary clear-thinking productivity</t>
  </si>
  <si>
    <t>CMP0050</t>
  </si>
  <si>
    <t>Customer-focused solution-oriented application</t>
  </si>
  <si>
    <t>CMP0051</t>
  </si>
  <si>
    <t>Ergonomic foreground product</t>
  </si>
  <si>
    <t>CMP0052</t>
  </si>
  <si>
    <t>Fundamental eco-centric model</t>
  </si>
  <si>
    <t>CMP0053</t>
  </si>
  <si>
    <t>Multi-layered contextually-based alliance</t>
  </si>
  <si>
    <t>CMP0054</t>
  </si>
  <si>
    <t>Exclusive demand-driven data-warehouse</t>
  </si>
  <si>
    <t>CMP0055</t>
  </si>
  <si>
    <t>Reactive global budgetary management</t>
  </si>
  <si>
    <t>CMP0056</t>
  </si>
  <si>
    <t>Optimized fresh-thinking policy</t>
  </si>
  <si>
    <t>CMP0057</t>
  </si>
  <si>
    <t>Persevering stable toolset</t>
  </si>
  <si>
    <t>CMP0058</t>
  </si>
  <si>
    <t>Cross-platform logistical Graphical User Interface</t>
  </si>
  <si>
    <t>CMP0059</t>
  </si>
  <si>
    <t>Configurable secondary definition</t>
  </si>
  <si>
    <t>CMP0060</t>
  </si>
  <si>
    <t>Innovative coherent support</t>
  </si>
  <si>
    <t>CMP0061</t>
  </si>
  <si>
    <t>Profound bandwidth-monitored Graphic Interface</t>
  </si>
  <si>
    <t>CMP0062</t>
  </si>
  <si>
    <t>Realigned impactful structure</t>
  </si>
  <si>
    <t>CMP0063</t>
  </si>
  <si>
    <t>Integrated mobile matrices</t>
  </si>
  <si>
    <t>CMP0064</t>
  </si>
  <si>
    <t>Cloned content-based moderator</t>
  </si>
  <si>
    <t>CMP0065</t>
  </si>
  <si>
    <t>Switchable background frame</t>
  </si>
  <si>
    <t>CMP0066</t>
  </si>
  <si>
    <t>User-centric full-range solution</t>
  </si>
  <si>
    <t>CMP0067</t>
  </si>
  <si>
    <t>Function-based incremental capacity</t>
  </si>
  <si>
    <t>CMP0068</t>
  </si>
  <si>
    <t>Team-oriented homogeneous database</t>
  </si>
  <si>
    <t>CMP0069</t>
  </si>
  <si>
    <t>Adaptive coherent Internet solution</t>
  </si>
  <si>
    <t>CMP0070</t>
  </si>
  <si>
    <t>Visionary leadingedge initiative</t>
  </si>
  <si>
    <t>CMP0071</t>
  </si>
  <si>
    <t>Enhanced full-range alliance</t>
  </si>
  <si>
    <t>CMP0072</t>
  </si>
  <si>
    <t>Advanced modular encryption</t>
  </si>
  <si>
    <t>CMP0073</t>
  </si>
  <si>
    <t>Progressive contextually-based function</t>
  </si>
  <si>
    <t>CMP0074</t>
  </si>
  <si>
    <t>Sharable bottom-line leverage</t>
  </si>
  <si>
    <t>CMP0075</t>
  </si>
  <si>
    <t>Balanced homogeneous capability</t>
  </si>
  <si>
    <t>CMP0076</t>
  </si>
  <si>
    <t>Cross-group disintermediate ability</t>
  </si>
  <si>
    <t>CMP0077</t>
  </si>
  <si>
    <t>Synergized empowering methodology</t>
  </si>
  <si>
    <t>CMP0078</t>
  </si>
  <si>
    <t>Synergized web-enabled core</t>
  </si>
  <si>
    <t>CMP0079</t>
  </si>
  <si>
    <t>Switchable zero tolerance product</t>
  </si>
  <si>
    <t>CMP0080</t>
  </si>
  <si>
    <t>Decentralized static ability</t>
  </si>
  <si>
    <t>CMP0081</t>
  </si>
  <si>
    <t>Realigned human-resource service-desk</t>
  </si>
  <si>
    <t>CMP0082</t>
  </si>
  <si>
    <t>Streamlined secondary throughput</t>
  </si>
  <si>
    <t>CMP0083</t>
  </si>
  <si>
    <t>User-centric national leverage</t>
  </si>
  <si>
    <t>CMP0084</t>
  </si>
  <si>
    <t>Expanded 5thgeneration data-warehouse</t>
  </si>
  <si>
    <t>CMP0085</t>
  </si>
  <si>
    <t>Innovative multimedia circuit</t>
  </si>
  <si>
    <t>CMP0086</t>
  </si>
  <si>
    <t>Advanced static challenge</t>
  </si>
  <si>
    <t>CMP0087</t>
  </si>
  <si>
    <t>Quality-focused background methodology</t>
  </si>
  <si>
    <t>CMP0088</t>
  </si>
  <si>
    <t>Upgradable discrete website</t>
  </si>
  <si>
    <t>CMP0089</t>
  </si>
  <si>
    <t>Down-sized coherent frame</t>
  </si>
  <si>
    <t>CMP0090</t>
  </si>
  <si>
    <t>Monitored local solution</t>
  </si>
  <si>
    <t>CMP0091</t>
  </si>
  <si>
    <t>Decentralized optimizing alliance</t>
  </si>
  <si>
    <t>CMP0092</t>
  </si>
  <si>
    <t>Customer-focused encompassing budgetary management</t>
  </si>
  <si>
    <t>CMP0093</t>
  </si>
  <si>
    <t>Reactive logistical strategy</t>
  </si>
  <si>
    <t>CMP0094</t>
  </si>
  <si>
    <t>Open-source content-based database</t>
  </si>
  <si>
    <t>CMP0095</t>
  </si>
  <si>
    <t>Object-based context-sensitive structure</t>
  </si>
  <si>
    <t>CMP0096</t>
  </si>
  <si>
    <t>Networked bandwidth-monitored attitude</t>
  </si>
  <si>
    <t>CMP0097</t>
  </si>
  <si>
    <t>Synergized needs-based migration</t>
  </si>
  <si>
    <t>CMP0098</t>
  </si>
  <si>
    <t>Seamless needs-based pricing structure</t>
  </si>
  <si>
    <t>CMP0099</t>
  </si>
  <si>
    <t>Total intangible portal</t>
  </si>
  <si>
    <t>CMP0100</t>
  </si>
  <si>
    <t>Configurable reciprocal strategy</t>
  </si>
  <si>
    <t>CMP0101</t>
  </si>
  <si>
    <t>Synergized fault-tolerant time-frame</t>
  </si>
  <si>
    <t>CMP0102</t>
  </si>
  <si>
    <t>Synchronized scalable productivity</t>
  </si>
  <si>
    <t>CMP0103</t>
  </si>
  <si>
    <t>Synergized asynchronous productivity</t>
  </si>
  <si>
    <t>CMP0104</t>
  </si>
  <si>
    <t>Ergonomic methodical leverage</t>
  </si>
  <si>
    <t>CMP0105</t>
  </si>
  <si>
    <t>Future-proofed zero-defect workforce</t>
  </si>
  <si>
    <t>CMP0106</t>
  </si>
  <si>
    <t>Cross-platform contextually-based knowledge user</t>
  </si>
  <si>
    <t>CMP0107</t>
  </si>
  <si>
    <t>Fundamental responsive hub</t>
  </si>
  <si>
    <t>CMP0108</t>
  </si>
  <si>
    <t>Persevering user-facing superstructure</t>
  </si>
  <si>
    <t>CMP0109</t>
  </si>
  <si>
    <t>Re-engineered asymmetric methodology</t>
  </si>
  <si>
    <t>CMP0110</t>
  </si>
  <si>
    <t>Optimized reciprocal leverage</t>
  </si>
  <si>
    <t>CMP0111</t>
  </si>
  <si>
    <t>Stand-alone executive productivity</t>
  </si>
  <si>
    <t>CMP0112</t>
  </si>
  <si>
    <t>Ergonomic next generation structure</t>
  </si>
  <si>
    <t>CMP0113</t>
  </si>
  <si>
    <t>Reduced impactful access</t>
  </si>
  <si>
    <t>CMP0114</t>
  </si>
  <si>
    <t>Pre-emptive analyzing array</t>
  </si>
  <si>
    <t>CMP0115</t>
  </si>
  <si>
    <t>Customer-focused bifurcated circuit</t>
  </si>
  <si>
    <t>CMP0116</t>
  </si>
  <si>
    <t>Operative impactful portal</t>
  </si>
  <si>
    <t>CMP0117</t>
  </si>
  <si>
    <t>Assimilated 5thgeneration archive</t>
  </si>
  <si>
    <t>CMP0118</t>
  </si>
  <si>
    <t>Optimized foreground hub</t>
  </si>
  <si>
    <t>CMP0119</t>
  </si>
  <si>
    <t>Multi-channeled non-volatile analyzer</t>
  </si>
  <si>
    <t>CMP0120</t>
  </si>
  <si>
    <t>Synchronized discrete adapter</t>
  </si>
  <si>
    <t>CMP0121</t>
  </si>
  <si>
    <t>Polarized multimedia customer loyalty</t>
  </si>
  <si>
    <t>CMP0122</t>
  </si>
  <si>
    <t>Monitored composite collaboration</t>
  </si>
  <si>
    <t>CMP0123</t>
  </si>
  <si>
    <t>Ameliorated real-time database</t>
  </si>
  <si>
    <t>CMP0124</t>
  </si>
  <si>
    <t>User-centric explicit framework</t>
  </si>
  <si>
    <t>CMP0125</t>
  </si>
  <si>
    <t>Operative neutral customer loyalty</t>
  </si>
  <si>
    <t>CMP0126</t>
  </si>
  <si>
    <t>Pre-emptive 4thgeneration utilization</t>
  </si>
  <si>
    <t>CMP0127</t>
  </si>
  <si>
    <t>Down-sized didactic process improvement</t>
  </si>
  <si>
    <t>CMP0128</t>
  </si>
  <si>
    <t>Operative discrete support</t>
  </si>
  <si>
    <t>CMP0129</t>
  </si>
  <si>
    <t>Optional analyzing frame</t>
  </si>
  <si>
    <t>CMP0130</t>
  </si>
  <si>
    <t>Cloned context-sensitive pricing structure</t>
  </si>
  <si>
    <t>CMP0131</t>
  </si>
  <si>
    <t>Function-based composite moderator</t>
  </si>
  <si>
    <t>CMP0132</t>
  </si>
  <si>
    <t>User-friendly multimedia hub</t>
  </si>
  <si>
    <t>CMP0133</t>
  </si>
  <si>
    <t>Organic explicit adapter</t>
  </si>
  <si>
    <t>CMP0134</t>
  </si>
  <si>
    <t>Horizontal 6thgeneration superstructure</t>
  </si>
  <si>
    <t>CMP0135</t>
  </si>
  <si>
    <t>Upgradable reciprocal moratorium</t>
  </si>
  <si>
    <t>CMP0136</t>
  </si>
  <si>
    <t>Virtual transitional policy</t>
  </si>
  <si>
    <t>CMP0137</t>
  </si>
  <si>
    <t>Streamlined hybrid monitoring</t>
  </si>
  <si>
    <t>CMP0138</t>
  </si>
  <si>
    <t>Synchronized user-facing architecture</t>
  </si>
  <si>
    <t>CMP0139</t>
  </si>
  <si>
    <t>Networked static open system</t>
  </si>
  <si>
    <t>CMP0140</t>
  </si>
  <si>
    <t>Diverse asymmetric framework</t>
  </si>
  <si>
    <t>CMP0141</t>
  </si>
  <si>
    <t>Reverse-engineered grid-enabled circuit</t>
  </si>
  <si>
    <t>CMP0142</t>
  </si>
  <si>
    <t>Pre-emptive actuating productivity</t>
  </si>
  <si>
    <t>CMP0143</t>
  </si>
  <si>
    <t>Streamlined intermediate focus group</t>
  </si>
  <si>
    <t>CMP0144</t>
  </si>
  <si>
    <t>Persistent systematic project</t>
  </si>
  <si>
    <t>CMP0145</t>
  </si>
  <si>
    <t>Monitored bottom-line circuit</t>
  </si>
  <si>
    <t>CMP0146</t>
  </si>
  <si>
    <t>Managed cohesive intranet</t>
  </si>
  <si>
    <t>CMP0147</t>
  </si>
  <si>
    <t>Ergonomic incremental neural-net</t>
  </si>
  <si>
    <t>CMP0148</t>
  </si>
  <si>
    <t>Sharable interactive methodology</t>
  </si>
  <si>
    <t>CMP0149</t>
  </si>
  <si>
    <t>Total mobile capacity</t>
  </si>
  <si>
    <t>CMP0150</t>
  </si>
  <si>
    <t>Decentralized transitional methodology</t>
  </si>
  <si>
    <t>CMP0151</t>
  </si>
  <si>
    <t>User-centric zero administration access</t>
  </si>
  <si>
    <t>CMP0152</t>
  </si>
  <si>
    <t>Focused didactic instruction set</t>
  </si>
  <si>
    <t>CMP0153</t>
  </si>
  <si>
    <t>Optional zero-defect conglomeration</t>
  </si>
  <si>
    <t>CMP0154</t>
  </si>
  <si>
    <t>Expanded high-level function</t>
  </si>
  <si>
    <t>CMP0155</t>
  </si>
  <si>
    <t>Team-oriented zero tolerance hierarchy</t>
  </si>
  <si>
    <t>CMP0156</t>
  </si>
  <si>
    <t>Proactive client-driven workforce</t>
  </si>
  <si>
    <t>CMP0157</t>
  </si>
  <si>
    <t>Advanced heuristic knowledge user</t>
  </si>
  <si>
    <t>CMP0158</t>
  </si>
  <si>
    <t>Decentralized disintermediate Graphic Interface</t>
  </si>
  <si>
    <t>CMP0159</t>
  </si>
  <si>
    <t>Mandatory client-server artificial intelligence</t>
  </si>
  <si>
    <t>CMP0160</t>
  </si>
  <si>
    <t>Organized actuating collaboration</t>
  </si>
  <si>
    <t>CMP0161</t>
  </si>
  <si>
    <t>Distributed real-time migration</t>
  </si>
  <si>
    <t>CMP0162</t>
  </si>
  <si>
    <t>Integrated zero-defect capacity</t>
  </si>
  <si>
    <t>CMP0163</t>
  </si>
  <si>
    <t>Profit-focused disintermediate definition</t>
  </si>
  <si>
    <t>CMP0164</t>
  </si>
  <si>
    <t>Function-based interactive emulation</t>
  </si>
  <si>
    <t>CMP0165</t>
  </si>
  <si>
    <t>Implemented executive archive</t>
  </si>
  <si>
    <t>CMP0166</t>
  </si>
  <si>
    <t>Public-key analyzing software</t>
  </si>
  <si>
    <t>CMP0167</t>
  </si>
  <si>
    <t>Realigned asymmetric instruction set</t>
  </si>
  <si>
    <t>CMP0168</t>
  </si>
  <si>
    <t>Multi-lateral eco-centric service-desk</t>
  </si>
  <si>
    <t>CMP0169</t>
  </si>
  <si>
    <t>Open-architected system-worthy model</t>
  </si>
  <si>
    <t>CMP0170</t>
  </si>
  <si>
    <t>Adaptive hybrid service-desk</t>
  </si>
  <si>
    <t>CMP0171</t>
  </si>
  <si>
    <t>Digitized dedicated artificial intelligence</t>
  </si>
  <si>
    <t>CMP0172</t>
  </si>
  <si>
    <t>Synchronized zero administration groupware</t>
  </si>
  <si>
    <t>CMP0173</t>
  </si>
  <si>
    <t>Multi-layered bi-directional encryption</t>
  </si>
  <si>
    <t>CMP0174</t>
  </si>
  <si>
    <t>Future-proofed solution-oriented adapter</t>
  </si>
  <si>
    <t>CMP0175</t>
  </si>
  <si>
    <t>Realigned composite complexity</t>
  </si>
  <si>
    <t>CMP0176</t>
  </si>
  <si>
    <t>Profit-focused object-oriented monitoring</t>
  </si>
  <si>
    <t>CMP0177</t>
  </si>
  <si>
    <t>Networked local collaboration</t>
  </si>
  <si>
    <t>CMP0178</t>
  </si>
  <si>
    <t>Front-line incremental task-force</t>
  </si>
  <si>
    <t>CMP0179</t>
  </si>
  <si>
    <t>Secured bi-directional analyzer</t>
  </si>
  <si>
    <t>CMP0180</t>
  </si>
  <si>
    <t>Optional methodical hardware</t>
  </si>
  <si>
    <t>CMP0181</t>
  </si>
  <si>
    <t>Networked leadingedge concept</t>
  </si>
  <si>
    <t>CMP0182</t>
  </si>
  <si>
    <t>Realigned hybrid matrices</t>
  </si>
  <si>
    <t>CMP0183</t>
  </si>
  <si>
    <t>Intuitive full-range analyzer</t>
  </si>
  <si>
    <t>CMP0184</t>
  </si>
  <si>
    <t>Function-based asynchronous function</t>
  </si>
  <si>
    <t>CMP0185</t>
  </si>
  <si>
    <t>Secured homogeneous frame</t>
  </si>
  <si>
    <t>CMP0186</t>
  </si>
  <si>
    <t>Right-sized bottom-line firmware</t>
  </si>
  <si>
    <t>CMP0187</t>
  </si>
  <si>
    <t>Total zero administration synergy</t>
  </si>
  <si>
    <t>CMP0188</t>
  </si>
  <si>
    <t>Streamlined systemic parallelism</t>
  </si>
  <si>
    <t>CMP0189</t>
  </si>
  <si>
    <t>Upgradable responsive knowledge user</t>
  </si>
  <si>
    <t>CMP0190</t>
  </si>
  <si>
    <t>Reduced background moderator</t>
  </si>
  <si>
    <t>CMP0191</t>
  </si>
  <si>
    <t>Triple-buffered 24/7 hub</t>
  </si>
  <si>
    <t>CMP0192</t>
  </si>
  <si>
    <t>Assimilated client-driven capability</t>
  </si>
  <si>
    <t>CMP0193</t>
  </si>
  <si>
    <t>Re-engineered scalable pricing structure</t>
  </si>
  <si>
    <t>CMP0194</t>
  </si>
  <si>
    <t>Networked full-range middleware</t>
  </si>
  <si>
    <t>CMP0195</t>
  </si>
  <si>
    <t>Managed 3rdgeneration database</t>
  </si>
  <si>
    <t>CMP0196</t>
  </si>
  <si>
    <t>Public-key encompassing Graphical User Interface</t>
  </si>
  <si>
    <t>CMP0197</t>
  </si>
  <si>
    <t>Monitored logistical function</t>
  </si>
  <si>
    <t>CMP0198</t>
  </si>
  <si>
    <t>Streamlined mobile ability</t>
  </si>
  <si>
    <t>CMP0199</t>
  </si>
  <si>
    <t>Vision-oriented zero administration Internet solution</t>
  </si>
  <si>
    <t>CMP0200</t>
  </si>
  <si>
    <t>Cross-platform web-enabled frame</t>
  </si>
  <si>
    <t>CMP0201</t>
  </si>
  <si>
    <t>Exclusive 4thgeneration interface</t>
  </si>
  <si>
    <t>CMP0202</t>
  </si>
  <si>
    <t>Multi-lateral holistic architecture</t>
  </si>
  <si>
    <t>CMP0203</t>
  </si>
  <si>
    <t>Streamlined uniform paradigm</t>
  </si>
  <si>
    <t>CMP0204</t>
  </si>
  <si>
    <t>Expanded intangible project</t>
  </si>
  <si>
    <t>CMP0205</t>
  </si>
  <si>
    <t>Pre-emptive client-server array</t>
  </si>
  <si>
    <t>CMP0206</t>
  </si>
  <si>
    <t>Fully-configurable object-oriented success</t>
  </si>
  <si>
    <t>CMP0207</t>
  </si>
  <si>
    <t>Multi-layered explicit ability</t>
  </si>
  <si>
    <t>CMP0208</t>
  </si>
  <si>
    <t>Synchronized global synergy</t>
  </si>
  <si>
    <t>CMP0209</t>
  </si>
  <si>
    <t>Assimilated bifurcated moderator</t>
  </si>
  <si>
    <t>CMP0210</t>
  </si>
  <si>
    <t>Triple-buffered neutral intranet</t>
  </si>
  <si>
    <t>CMP0211</t>
  </si>
  <si>
    <t>Inverse national flexibility</t>
  </si>
  <si>
    <t>CMP0212</t>
  </si>
  <si>
    <t>Quality-focused bottom-line info-mediaries</t>
  </si>
  <si>
    <t>CMP0213</t>
  </si>
  <si>
    <t>Managed client-driven challenge</t>
  </si>
  <si>
    <t>CMP0214</t>
  </si>
  <si>
    <t>Intuitive 6thgeneration Graphical User Interface</t>
  </si>
  <si>
    <t>CMP0215</t>
  </si>
  <si>
    <t>Function-based bottom-line utilization</t>
  </si>
  <si>
    <t>CMP0216</t>
  </si>
  <si>
    <t>Down-sized actuating process improvement</t>
  </si>
  <si>
    <t>CMP0217</t>
  </si>
  <si>
    <t>Monitored optimizing Local Area Network</t>
  </si>
  <si>
    <t>CMP0218</t>
  </si>
  <si>
    <t>Enhanced eco-centric portal</t>
  </si>
  <si>
    <t>CMP0219</t>
  </si>
  <si>
    <t>Team-oriented even-keeled middleware</t>
  </si>
  <si>
    <t>CMP0220</t>
  </si>
  <si>
    <t>Re-engineered neutral model</t>
  </si>
  <si>
    <t>CMP0221</t>
  </si>
  <si>
    <t>Programmable methodical product</t>
  </si>
  <si>
    <t>CMP0222</t>
  </si>
  <si>
    <t>Multi-lateral system-worthy firmware</t>
  </si>
  <si>
    <t>CMP0223</t>
  </si>
  <si>
    <t>Optimized systemic synergy</t>
  </si>
  <si>
    <t>CMP0224</t>
  </si>
  <si>
    <t>Advanced grid-enabled policy</t>
  </si>
  <si>
    <t>CMP0225</t>
  </si>
  <si>
    <t>Profound analyzing adapter</t>
  </si>
  <si>
    <t>CMP0226</t>
  </si>
  <si>
    <t>Cross-platform empowering parallelism</t>
  </si>
  <si>
    <t>CMP0227</t>
  </si>
  <si>
    <t>Horizontal context-sensitive process improvement</t>
  </si>
  <si>
    <t>CMP0228</t>
  </si>
  <si>
    <t>Switchable uniform moderator</t>
  </si>
  <si>
    <t>CMP0229</t>
  </si>
  <si>
    <t>Enhanced bi-directional strategy</t>
  </si>
  <si>
    <t>CMP0230</t>
  </si>
  <si>
    <t>Diverse bottom-line open architecture</t>
  </si>
  <si>
    <t>CMP0231</t>
  </si>
  <si>
    <t>Balanced clear-thinking pricing structure</t>
  </si>
  <si>
    <t>CMP0232</t>
  </si>
  <si>
    <t>Configurable transitional conglomeration</t>
  </si>
  <si>
    <t>CMP0233</t>
  </si>
  <si>
    <t>Optional grid-enabled budgetary management</t>
  </si>
  <si>
    <t>CMP0234</t>
  </si>
  <si>
    <t>Front-line static orchestration</t>
  </si>
  <si>
    <t>CMP0235</t>
  </si>
  <si>
    <t>Total optimizing functionalities</t>
  </si>
  <si>
    <t>CMP0236</t>
  </si>
  <si>
    <t>Vision-oriented multi-state artificial intelligence</t>
  </si>
  <si>
    <t>CMP0237</t>
  </si>
  <si>
    <t>Grass-roots multi-state productivity</t>
  </si>
  <si>
    <t>CMP0238</t>
  </si>
  <si>
    <t>Quality-focused fresh-thinking budgetary management</t>
  </si>
  <si>
    <t>CMP0239</t>
  </si>
  <si>
    <t>Balanced contextually-based archive</t>
  </si>
  <si>
    <t>CMP0240</t>
  </si>
  <si>
    <t>Open-architected systemic monitoring</t>
  </si>
  <si>
    <t>CMP0241</t>
  </si>
  <si>
    <t>Universal neutral moderator</t>
  </si>
  <si>
    <t>CMP0242</t>
  </si>
  <si>
    <t>Mandatory transitional matrix</t>
  </si>
  <si>
    <t>CMP0243</t>
  </si>
  <si>
    <t>Customizable composite flexibility</t>
  </si>
  <si>
    <t>CMP0244</t>
  </si>
  <si>
    <t>Stand-alone executive project</t>
  </si>
  <si>
    <t>CMP0245</t>
  </si>
  <si>
    <t>Grass-roots multi-tasking workforce</t>
  </si>
  <si>
    <t>CMP0246</t>
  </si>
  <si>
    <t>Integrated foreground open system</t>
  </si>
  <si>
    <t>CMP0247</t>
  </si>
  <si>
    <t>Phased reciprocal encoding</t>
  </si>
  <si>
    <t>CMP0248</t>
  </si>
  <si>
    <t>Right-sized value-added Local Area Network</t>
  </si>
  <si>
    <t>CMP0249</t>
  </si>
  <si>
    <t>Customizable 3rdgeneration circuit</t>
  </si>
  <si>
    <t>CMP0250</t>
  </si>
  <si>
    <t>Vision-oriented 4thgeneration support</t>
  </si>
  <si>
    <t>CMP0251</t>
  </si>
  <si>
    <t>Team-oriented bi-directional moratorium</t>
  </si>
  <si>
    <t>CMP0252</t>
  </si>
  <si>
    <t>Persistent zero administration strategy</t>
  </si>
  <si>
    <t>CMP0253</t>
  </si>
  <si>
    <t>Face-to-face high-level analyzer</t>
  </si>
  <si>
    <t>CMP0254</t>
  </si>
  <si>
    <t>Phased actuating synergy</t>
  </si>
  <si>
    <t>CMP0255</t>
  </si>
  <si>
    <t>De-engineered client-server project</t>
  </si>
  <si>
    <t>CMP0256</t>
  </si>
  <si>
    <t>Realigned bottom-line approach</t>
  </si>
  <si>
    <t>CMP0257</t>
  </si>
  <si>
    <t>Focused mobile project</t>
  </si>
  <si>
    <t>CMP0258</t>
  </si>
  <si>
    <t>User-centric exuding capacity</t>
  </si>
  <si>
    <t>CMP0259</t>
  </si>
  <si>
    <t>Programmable impactful focus group</t>
  </si>
  <si>
    <t>CMP0260</t>
  </si>
  <si>
    <t>Distributed multimedia conglomeration</t>
  </si>
  <si>
    <t>CMP0261</t>
  </si>
  <si>
    <t>Multi-layered fresh-thinking circuit</t>
  </si>
  <si>
    <t>CMP0262</t>
  </si>
  <si>
    <t>Triple-buffered bottom-line instruction set</t>
  </si>
  <si>
    <t>CMP0263</t>
  </si>
  <si>
    <t>Cloned dedicated solution</t>
  </si>
  <si>
    <t>CMP0264</t>
  </si>
  <si>
    <t>Multi-lateral user-facing neural-net</t>
  </si>
  <si>
    <t>CMP0265</t>
  </si>
  <si>
    <t>Cross-group discrete projection</t>
  </si>
  <si>
    <t>CMP0266</t>
  </si>
  <si>
    <t>Optimized value-added infrastructure</t>
  </si>
  <si>
    <t>CMP0267</t>
  </si>
  <si>
    <t>Switchable empowering focus group</t>
  </si>
  <si>
    <t>CMP0268</t>
  </si>
  <si>
    <t>Object-based value-added protocol</t>
  </si>
  <si>
    <t>CMP0269</t>
  </si>
  <si>
    <t>Reverse-engineered eco-centric neural-net</t>
  </si>
  <si>
    <t>CMP0270</t>
  </si>
  <si>
    <t>Sharable executive core</t>
  </si>
  <si>
    <t>CMP0271</t>
  </si>
  <si>
    <t>Intuitive fault-tolerant definition</t>
  </si>
  <si>
    <t>CMP0272</t>
  </si>
  <si>
    <t>Multi-layered homogeneous function</t>
  </si>
  <si>
    <t>CMP0273</t>
  </si>
  <si>
    <t>Customizable tangible knowledge user</t>
  </si>
  <si>
    <t>CMP0274</t>
  </si>
  <si>
    <t>Seamless discrete contingency</t>
  </si>
  <si>
    <t>CMP0275</t>
  </si>
  <si>
    <t>Versatile holistic capacity</t>
  </si>
  <si>
    <t>CMP0276</t>
  </si>
  <si>
    <t>Persistent secondary budgetary management</t>
  </si>
  <si>
    <t>CMP0277</t>
  </si>
  <si>
    <t>Optimized demand-driven standardization</t>
  </si>
  <si>
    <t>CMP0278</t>
  </si>
  <si>
    <t>Cross-platform bi-directional protocol</t>
  </si>
  <si>
    <t>CMP0279</t>
  </si>
  <si>
    <t>Realigned non-volatile knowledge user</t>
  </si>
  <si>
    <t>CMP0280</t>
  </si>
  <si>
    <t>User-centric context-sensitive adapter</t>
  </si>
  <si>
    <t>CMP0281</t>
  </si>
  <si>
    <t>Reactive holistic groupware</t>
  </si>
  <si>
    <t>CMP0282</t>
  </si>
  <si>
    <t>Reactive high-level forecast</t>
  </si>
  <si>
    <t>CMP0283</t>
  </si>
  <si>
    <t>Multi-channeled motivating complexity</t>
  </si>
  <si>
    <t>CMP0284</t>
  </si>
  <si>
    <t>Object-based optimizing archive</t>
  </si>
  <si>
    <t>CMP0285</t>
  </si>
  <si>
    <t>Advanced analyzing monitoring</t>
  </si>
  <si>
    <t>CMP0286</t>
  </si>
  <si>
    <t>Visionary modular methodology</t>
  </si>
  <si>
    <t>CMP0287</t>
  </si>
  <si>
    <t>Multi-channeled high-level standardization</t>
  </si>
  <si>
    <t>CMP0288</t>
  </si>
  <si>
    <t>Sharable non-volatile complexity</t>
  </si>
  <si>
    <t>CMP0289</t>
  </si>
  <si>
    <t>Distributed impactful methodology</t>
  </si>
  <si>
    <t>CMP0290</t>
  </si>
  <si>
    <t>Optimized systematic flexibility</t>
  </si>
  <si>
    <t>CMP0291</t>
  </si>
  <si>
    <t>Ameliorated zero-defect Local Area Network</t>
  </si>
  <si>
    <t>CMP0292</t>
  </si>
  <si>
    <t>Multi-channeled dedicated functionalities</t>
  </si>
  <si>
    <t>CMP0293</t>
  </si>
  <si>
    <t>Organic 4thgeneration capability</t>
  </si>
  <si>
    <t>CMP0294</t>
  </si>
  <si>
    <t>Stand-alone incremental instruction set</t>
  </si>
  <si>
    <t>CMP0295</t>
  </si>
  <si>
    <t>Inverse human-resource hardware</t>
  </si>
  <si>
    <t>CMP0296</t>
  </si>
  <si>
    <t>De-engineered empowering groupware</t>
  </si>
  <si>
    <t>CMP0297</t>
  </si>
  <si>
    <t>Re-engineered modular instruction set</t>
  </si>
  <si>
    <t>CMP0298</t>
  </si>
  <si>
    <t>Diverse cohesive matrix</t>
  </si>
  <si>
    <t>CMP0299</t>
  </si>
  <si>
    <t>Synchronized even-keeled encryption</t>
  </si>
  <si>
    <t>CMP0300</t>
  </si>
  <si>
    <t>Profit-focused incremental success</t>
  </si>
  <si>
    <t>CMP0301</t>
  </si>
  <si>
    <t>Synergized radical website</t>
  </si>
  <si>
    <t>CMP0302</t>
  </si>
  <si>
    <t>Object-based uniform Graphical User Interface</t>
  </si>
  <si>
    <t>CMP0303</t>
  </si>
  <si>
    <t>Centralized tangible conglomeration</t>
  </si>
  <si>
    <t>CMP0304</t>
  </si>
  <si>
    <t>Innovative contextually-based initiative</t>
  </si>
  <si>
    <t>CMP0305</t>
  </si>
  <si>
    <t>Secured background complexity</t>
  </si>
  <si>
    <t>CMP0306</t>
  </si>
  <si>
    <t>Switchable transitional synergy</t>
  </si>
  <si>
    <t>CMP0307</t>
  </si>
  <si>
    <t>Public-key methodical Graphic Interface</t>
  </si>
  <si>
    <t>CMP0308</t>
  </si>
  <si>
    <t>Implemented mobile service-desk</t>
  </si>
  <si>
    <t>CMP0309</t>
  </si>
  <si>
    <t>Synchronized global knowledgebase</t>
  </si>
  <si>
    <t>CMP0310</t>
  </si>
  <si>
    <t>Profound zero administration circuit</t>
  </si>
  <si>
    <t>CMP0311</t>
  </si>
  <si>
    <t>Triple-buffered real-time capability</t>
  </si>
  <si>
    <t>CMP0312</t>
  </si>
  <si>
    <t>Re-contextualized discrete application</t>
  </si>
  <si>
    <t>CMP0313</t>
  </si>
  <si>
    <t>Configurable content-based customer loyalty</t>
  </si>
  <si>
    <t>CMP0314</t>
  </si>
  <si>
    <t>Decentralized coherent software</t>
  </si>
  <si>
    <t>CMP0315</t>
  </si>
  <si>
    <t>Diverse exuding task-force</t>
  </si>
  <si>
    <t>CMP0316</t>
  </si>
  <si>
    <t>Pre-emptive actuating solution</t>
  </si>
  <si>
    <t>CMP0317</t>
  </si>
  <si>
    <t>Advanced 24/7 flexibility</t>
  </si>
  <si>
    <t>CMP0318</t>
  </si>
  <si>
    <t>Multi-layered hybrid attitude</t>
  </si>
  <si>
    <t>CMP0319</t>
  </si>
  <si>
    <t>Cross-group transitional pricing structure</t>
  </si>
  <si>
    <t>CMP0320</t>
  </si>
  <si>
    <t>Balanced executive migration</t>
  </si>
  <si>
    <t>CMP0321</t>
  </si>
  <si>
    <t>Future-proofed well-modulated groupware</t>
  </si>
  <si>
    <t>CMP0322</t>
  </si>
  <si>
    <t>Devolved fault-tolerant hub</t>
  </si>
  <si>
    <t>CMP0323</t>
  </si>
  <si>
    <t>Proactive empowering hub</t>
  </si>
  <si>
    <t>CMP0324</t>
  </si>
  <si>
    <t>Enterprise-wide multimedia throughput</t>
  </si>
  <si>
    <t>CMP0325</t>
  </si>
  <si>
    <t>Multi-tiered 24/7 time-frame</t>
  </si>
  <si>
    <t>CMP0326</t>
  </si>
  <si>
    <t>Realigned 24/7 methodology</t>
  </si>
  <si>
    <t>CMP0327</t>
  </si>
  <si>
    <t>Networked modular portal</t>
  </si>
  <si>
    <t>CMP0328</t>
  </si>
  <si>
    <t>Multi-tiered foreground Graphic Interface</t>
  </si>
  <si>
    <t>CMP0329</t>
  </si>
  <si>
    <t>Intuitive system-worthy Graphical User Interface</t>
  </si>
  <si>
    <t>CMP0330</t>
  </si>
  <si>
    <t>Ameliorated executive archive</t>
  </si>
  <si>
    <t>CMP0331</t>
  </si>
  <si>
    <t>Advanced user-facing concept</t>
  </si>
  <si>
    <t>CMP0332</t>
  </si>
  <si>
    <t>Multi-lateral systematic project</t>
  </si>
  <si>
    <t>CMP0333</t>
  </si>
  <si>
    <t>Face-to-face bi-directional throughput</t>
  </si>
  <si>
    <t>CMP0334</t>
  </si>
  <si>
    <t>Advanced cohesive adapter</t>
  </si>
  <si>
    <t>CMP0335</t>
  </si>
  <si>
    <t>Advanced 3rdgeneration customer loyalty</t>
  </si>
  <si>
    <t>CMP0336</t>
  </si>
  <si>
    <t>Reverse-engineered discrete Graphic Interface</t>
  </si>
  <si>
    <t>CMP0337</t>
  </si>
  <si>
    <t>Multi-tiered attitude-oriented hierarchy</t>
  </si>
  <si>
    <t>CMP0338</t>
  </si>
  <si>
    <t>Secured contextually-based workforce</t>
  </si>
  <si>
    <t>CMP0339</t>
  </si>
  <si>
    <t>Total leadingedge intranet</t>
  </si>
  <si>
    <t>CMP0340</t>
  </si>
  <si>
    <t>Enterprise-wide zero-defect alliance</t>
  </si>
  <si>
    <t>CMP0341</t>
  </si>
  <si>
    <t>Universal intangible product</t>
  </si>
  <si>
    <t>CMP0342</t>
  </si>
  <si>
    <t>Versatile web-enabled complexity</t>
  </si>
  <si>
    <t>CMP0343</t>
  </si>
  <si>
    <t>Universal non-volatile encryption</t>
  </si>
  <si>
    <t>CMP0344</t>
  </si>
  <si>
    <t>Synergistic radical utilization</t>
  </si>
  <si>
    <t>CMP0345</t>
  </si>
  <si>
    <t>Visionary local matrices</t>
  </si>
  <si>
    <t>CMP0346</t>
  </si>
  <si>
    <t>Seamless demand-driven analyzer</t>
  </si>
  <si>
    <t>CMP0347</t>
  </si>
  <si>
    <t>Extended reciprocal collaboration</t>
  </si>
  <si>
    <t>CMP0348</t>
  </si>
  <si>
    <t>Cloned fault-tolerant structure</t>
  </si>
  <si>
    <t>CMP0349</t>
  </si>
  <si>
    <t>Reactive user-facing structure</t>
  </si>
  <si>
    <t>CMP0350</t>
  </si>
  <si>
    <t>Quality-focused motivating array</t>
  </si>
  <si>
    <t>CMP0351</t>
  </si>
  <si>
    <t>Assimilated fresh-thinking superstructure</t>
  </si>
  <si>
    <t>CMP0352</t>
  </si>
  <si>
    <t>Cloned methodical framework</t>
  </si>
  <si>
    <t>CMP0353</t>
  </si>
  <si>
    <t>Horizontal stable strategy</t>
  </si>
  <si>
    <t>CMP0354</t>
  </si>
  <si>
    <t>Grass-roots methodical website</t>
  </si>
  <si>
    <t>CMP0355</t>
  </si>
  <si>
    <t>Horizontal systemic circuit</t>
  </si>
  <si>
    <t>CMP0356</t>
  </si>
  <si>
    <t>Stand-alone empowering intranet</t>
  </si>
  <si>
    <t>CMP0357</t>
  </si>
  <si>
    <t>Multi-layered static instruction set</t>
  </si>
  <si>
    <t>CMP0358</t>
  </si>
  <si>
    <t>Visionary regional throughput</t>
  </si>
  <si>
    <t>CMP0359</t>
  </si>
  <si>
    <t>Distributed non-volatile access</t>
  </si>
  <si>
    <t>CMP0360</t>
  </si>
  <si>
    <t>Front-line national alliance</t>
  </si>
  <si>
    <t>CMP0361</t>
  </si>
  <si>
    <t>Customer-focused asymmetric open system</t>
  </si>
  <si>
    <t>CMP0362</t>
  </si>
  <si>
    <t>Automated tangible attitude</t>
  </si>
  <si>
    <t>CMP0363</t>
  </si>
  <si>
    <t>Fully-configurable optimizing paradigm</t>
  </si>
  <si>
    <t>CMP0364</t>
  </si>
  <si>
    <t>Optimized analyzing framework</t>
  </si>
  <si>
    <t>CMP0365</t>
  </si>
  <si>
    <t>Customizable scalable success</t>
  </si>
  <si>
    <t>CMP0366</t>
  </si>
  <si>
    <t>Grass-roots 24/7 Graphical User Interface</t>
  </si>
  <si>
    <t>CMP0367</t>
  </si>
  <si>
    <t>Vision-oriented background analyzer</t>
  </si>
  <si>
    <t>CMP0368</t>
  </si>
  <si>
    <t>Function-based local time-frame</t>
  </si>
  <si>
    <t>CMP0369</t>
  </si>
  <si>
    <t>Diverse executive protocol</t>
  </si>
  <si>
    <t>CMP0370</t>
  </si>
  <si>
    <t>Monitored system-worthy system engine</t>
  </si>
  <si>
    <t>CMP0371</t>
  </si>
  <si>
    <t>Front-line foreground moderator</t>
  </si>
  <si>
    <t>CMP0372</t>
  </si>
  <si>
    <t>Inverse upward-trending orchestration</t>
  </si>
  <si>
    <t>CMP0373</t>
  </si>
  <si>
    <t>Multi-lateral static capacity</t>
  </si>
  <si>
    <t>CMP0374</t>
  </si>
  <si>
    <t>Switchable local strategy</t>
  </si>
  <si>
    <t>CMP0375</t>
  </si>
  <si>
    <t>Open-source systemic success</t>
  </si>
  <si>
    <t>CMP0376</t>
  </si>
  <si>
    <t>Programmable attitude-oriented core</t>
  </si>
  <si>
    <t>CMP0377</t>
  </si>
  <si>
    <t>Realigned coherent matrices</t>
  </si>
  <si>
    <t>CMP0378</t>
  </si>
  <si>
    <t>Fully-configurable even-keeled focus group</t>
  </si>
  <si>
    <t>CMP0379</t>
  </si>
  <si>
    <t>Fully-configurable tangible interface</t>
  </si>
  <si>
    <t>CMP0380</t>
  </si>
  <si>
    <t>Inverse discrete attitude</t>
  </si>
  <si>
    <t>CMP0381</t>
  </si>
  <si>
    <t>Exclusive high-level capability</t>
  </si>
  <si>
    <t>CMP0382</t>
  </si>
  <si>
    <t>Operative methodical ability</t>
  </si>
  <si>
    <t>CMP0383</t>
  </si>
  <si>
    <t>Multi-lateral tangible instruction set</t>
  </si>
  <si>
    <t>CMP0384</t>
  </si>
  <si>
    <t>Persistent exuding initiative</t>
  </si>
  <si>
    <t>CMP0385</t>
  </si>
  <si>
    <t>Configurable context-sensitive ability</t>
  </si>
  <si>
    <t>CMP0386</t>
  </si>
  <si>
    <t>Mandatory background orchestration</t>
  </si>
  <si>
    <t>CMP0387</t>
  </si>
  <si>
    <t>Advanced background methodology</t>
  </si>
  <si>
    <t>CMP0388</t>
  </si>
  <si>
    <t>Pre-emptive disintermediate Local Area Network</t>
  </si>
  <si>
    <t>CMP0389</t>
  </si>
  <si>
    <t>Cross-group disintermediate capacity</t>
  </si>
  <si>
    <t>CMP0390</t>
  </si>
  <si>
    <t>Versatile zero tolerance standardization</t>
  </si>
  <si>
    <t>CMP0391</t>
  </si>
  <si>
    <t>Operative heuristic interface</t>
  </si>
  <si>
    <t>CMP0392</t>
  </si>
  <si>
    <t>Integrated regional application</t>
  </si>
  <si>
    <t>CMP0393</t>
  </si>
  <si>
    <t>Decentralized leadingedge protocol</t>
  </si>
  <si>
    <t>CMP0394</t>
  </si>
  <si>
    <t>User-friendly 5thgeneration time-frame</t>
  </si>
  <si>
    <t>CMP0395</t>
  </si>
  <si>
    <t>Persistent 5thgeneration instruction set</t>
  </si>
  <si>
    <t>CMP0396</t>
  </si>
  <si>
    <t>Reverse-engineered national flexibility</t>
  </si>
  <si>
    <t>CMP0397</t>
  </si>
  <si>
    <t>Re-contextualized dynamic hardware</t>
  </si>
  <si>
    <t>CMP0398</t>
  </si>
  <si>
    <t>User-centric impactful alliance</t>
  </si>
  <si>
    <t>CMP0399</t>
  </si>
  <si>
    <t>Assimilated stable firmware</t>
  </si>
  <si>
    <t>CMP0400</t>
  </si>
  <si>
    <t>Synchronized 4thgeneration access</t>
  </si>
  <si>
    <t>CMP0401</t>
  </si>
  <si>
    <t>Right-sized responsive implementation</t>
  </si>
  <si>
    <t>CMP0402</t>
  </si>
  <si>
    <t>Customer-focused radical analyzer</t>
  </si>
  <si>
    <t>CMP0403</t>
  </si>
  <si>
    <t>Right-sized well-modulated leverage</t>
  </si>
  <si>
    <t>CMP0404</t>
  </si>
  <si>
    <t>Versatile bandwidth-monitored neural-net</t>
  </si>
  <si>
    <t>CMP0405</t>
  </si>
  <si>
    <t>Seamless neutral budgetary management</t>
  </si>
  <si>
    <t>CMP0406</t>
  </si>
  <si>
    <t>Universal system-worthy portal</t>
  </si>
  <si>
    <t>CMP0407</t>
  </si>
  <si>
    <t>Function-based value-added budgetary management</t>
  </si>
  <si>
    <t>CMP0408</t>
  </si>
  <si>
    <t>Team-oriented systemic task-force</t>
  </si>
  <si>
    <t>CMP0409</t>
  </si>
  <si>
    <t>Versatile analyzing encryption</t>
  </si>
  <si>
    <t>CMP0410</t>
  </si>
  <si>
    <t>Progressive even-keeled productivity</t>
  </si>
  <si>
    <t>CMP0411</t>
  </si>
  <si>
    <t>Team-oriented hybrid customer loyalty</t>
  </si>
  <si>
    <t>CMP0412</t>
  </si>
  <si>
    <t>Proactive mobile database</t>
  </si>
  <si>
    <t>CMP0413</t>
  </si>
  <si>
    <t>Customer-focused fresh-thinking hub</t>
  </si>
  <si>
    <t>CMP0414</t>
  </si>
  <si>
    <t>Sharable user-facing website</t>
  </si>
  <si>
    <t>CMP0415</t>
  </si>
  <si>
    <t>Down-sized regional alliance</t>
  </si>
  <si>
    <t>CMP0416</t>
  </si>
  <si>
    <t>Customer-focused multimedia emulation</t>
  </si>
  <si>
    <t>CMP0417</t>
  </si>
  <si>
    <t>Centralized coherent workforce</t>
  </si>
  <si>
    <t>CMP0418</t>
  </si>
  <si>
    <t>Multi-tiered scalable algorithm</t>
  </si>
  <si>
    <t>CMP0419</t>
  </si>
  <si>
    <t>Polarized methodical customer loyalty</t>
  </si>
  <si>
    <t>CMP0420</t>
  </si>
  <si>
    <t>Cross-platform empowering benchmark</t>
  </si>
  <si>
    <t>CMP0421</t>
  </si>
  <si>
    <t>Realigned 24/7 archive</t>
  </si>
  <si>
    <t>CMP0422</t>
  </si>
  <si>
    <t>Enhanced modular neural-net</t>
  </si>
  <si>
    <t>CMP0423</t>
  </si>
  <si>
    <t>Balanced maximized flexibility</t>
  </si>
  <si>
    <t>CMP0424</t>
  </si>
  <si>
    <t>Profound modular orchestration</t>
  </si>
  <si>
    <t>CMP0425</t>
  </si>
  <si>
    <t>Compatible static website</t>
  </si>
  <si>
    <t>CMP0426</t>
  </si>
  <si>
    <t>Optional client-server productivity</t>
  </si>
  <si>
    <t>CMP0427</t>
  </si>
  <si>
    <t>Re-engineered asynchronous capability</t>
  </si>
  <si>
    <t>CMP0428</t>
  </si>
  <si>
    <t>Programmable heuristic hub</t>
  </si>
  <si>
    <t>CMP0429</t>
  </si>
  <si>
    <t>Optimized mobile orchestration</t>
  </si>
  <si>
    <t>CMP0430</t>
  </si>
  <si>
    <t>Adaptive systematic approach</t>
  </si>
  <si>
    <t>CMP0431</t>
  </si>
  <si>
    <t>Secured interactive budgetary management</t>
  </si>
  <si>
    <t>CMP0432</t>
  </si>
  <si>
    <t>Optional bi-directional database</t>
  </si>
  <si>
    <t>CMP0433</t>
  </si>
  <si>
    <t>Mandatory bandwidth-monitored info-mediaries</t>
  </si>
  <si>
    <t>CMP0434</t>
  </si>
  <si>
    <t>Down-sized composite array</t>
  </si>
  <si>
    <t>CMP0435</t>
  </si>
  <si>
    <t>Realigned tertiary firmware</t>
  </si>
  <si>
    <t>CMP0436</t>
  </si>
  <si>
    <t>Adaptive composite archive</t>
  </si>
  <si>
    <t>CMP0437</t>
  </si>
  <si>
    <t>Inverse global data-warehouse</t>
  </si>
  <si>
    <t>CMP0438</t>
  </si>
  <si>
    <t>Face-to-face human-resource installation</t>
  </si>
  <si>
    <t>CMP0439</t>
  </si>
  <si>
    <t>Organic 6thgeneration alliance</t>
  </si>
  <si>
    <t>CMP0440</t>
  </si>
  <si>
    <t>Progressive global methodology</t>
  </si>
  <si>
    <t>CMP0441</t>
  </si>
  <si>
    <t>Stand-alone radical groupware</t>
  </si>
  <si>
    <t>CMP0442</t>
  </si>
  <si>
    <t>Adaptive multi-state policy</t>
  </si>
  <si>
    <t>CMP0443</t>
  </si>
  <si>
    <t>Triple-buffered 24hour framework</t>
  </si>
  <si>
    <t>CMP0444</t>
  </si>
  <si>
    <t>Exclusive neutral implementation</t>
  </si>
  <si>
    <t>CMP0445</t>
  </si>
  <si>
    <t>Front-line well-modulated productivity</t>
  </si>
  <si>
    <t>CMP0446</t>
  </si>
  <si>
    <t>Multi-channeled contextually-based function</t>
  </si>
  <si>
    <t>CMP0447</t>
  </si>
  <si>
    <t>Cross-group logistical protocol</t>
  </si>
  <si>
    <t>CMP0448</t>
  </si>
  <si>
    <t>Configurable radical leverage</t>
  </si>
  <si>
    <t>CMP0449</t>
  </si>
  <si>
    <t>Innovative optimizing methodology</t>
  </si>
  <si>
    <t>CMP0450</t>
  </si>
  <si>
    <t>Open-architected directional solution</t>
  </si>
  <si>
    <t>CMP0451</t>
  </si>
  <si>
    <t>Managed next generation core</t>
  </si>
  <si>
    <t>CMP0452</t>
  </si>
  <si>
    <t>Sharable leadingedge customer loyalty</t>
  </si>
  <si>
    <t>CMP0453</t>
  </si>
  <si>
    <t>Robust human-resource ability</t>
  </si>
  <si>
    <t>CMP0454</t>
  </si>
  <si>
    <t>Total asynchronous support</t>
  </si>
  <si>
    <t>CMP0455</t>
  </si>
  <si>
    <t>Decentralized bottom-line data-warehouse</t>
  </si>
  <si>
    <t>CMP0456</t>
  </si>
  <si>
    <t>Organic heuristic definition</t>
  </si>
  <si>
    <t>CMP0457</t>
  </si>
  <si>
    <t>Fundamental non-volatile forecast</t>
  </si>
  <si>
    <t>CMP0458</t>
  </si>
  <si>
    <t>Automated neutral infrastructure</t>
  </si>
  <si>
    <t>CMP0459</t>
  </si>
  <si>
    <t>Optional disintermediate benchmark</t>
  </si>
  <si>
    <t>CMP0460</t>
  </si>
  <si>
    <t>Extended even-keeled encoding</t>
  </si>
  <si>
    <t>CMP0461</t>
  </si>
  <si>
    <t>Front-line zero administration standardization</t>
  </si>
  <si>
    <t>CMP0462</t>
  </si>
  <si>
    <t>Fundamental zero administration knowledge user</t>
  </si>
  <si>
    <t>CMP0463</t>
  </si>
  <si>
    <t>Virtual motivating interface</t>
  </si>
  <si>
    <t>CMP0464</t>
  </si>
  <si>
    <t>Mandatory global project</t>
  </si>
  <si>
    <t>CMP0465</t>
  </si>
  <si>
    <t>Monitored multimedia archive</t>
  </si>
  <si>
    <t>CMP0466</t>
  </si>
  <si>
    <t>Fundamental foreground success</t>
  </si>
  <si>
    <t>CMP0467</t>
  </si>
  <si>
    <t>Public-key multi-state functionalities</t>
  </si>
  <si>
    <t>CMP0468</t>
  </si>
  <si>
    <t>Fully-configurable dedicated standardization</t>
  </si>
  <si>
    <t>CMP0469</t>
  </si>
  <si>
    <t>Enhanced tangible budgetary management</t>
  </si>
  <si>
    <t>CMP0470</t>
  </si>
  <si>
    <t>Team-oriented optimizing contingency</t>
  </si>
  <si>
    <t>CMP0471</t>
  </si>
  <si>
    <t>Progressive zero administration flexibility</t>
  </si>
  <si>
    <t>CMP0472</t>
  </si>
  <si>
    <t>Face-to-face incremental hub</t>
  </si>
  <si>
    <t>CMP0473</t>
  </si>
  <si>
    <t>Implemented scalable monitoring</t>
  </si>
  <si>
    <t>CMP0474</t>
  </si>
  <si>
    <t>Customizable fault-tolerant knowledge user</t>
  </si>
  <si>
    <t>CMP0475</t>
  </si>
  <si>
    <t>Open-architected scalable pricing structure</t>
  </si>
  <si>
    <t>CMP0476</t>
  </si>
  <si>
    <t>Ergonomic mobile customer loyalty</t>
  </si>
  <si>
    <t>CMP0477</t>
  </si>
  <si>
    <t>Realigned executive artificial intelligence</t>
  </si>
  <si>
    <t>CMP0478</t>
  </si>
  <si>
    <t>Down-sized discrete core</t>
  </si>
  <si>
    <t>CMP0479</t>
  </si>
  <si>
    <t>Synergistic logistical matrices</t>
  </si>
  <si>
    <t>CMP0480</t>
  </si>
  <si>
    <t>Front-line maximized secured line</t>
  </si>
  <si>
    <t>CMP0481</t>
  </si>
  <si>
    <t>Optimized 5thgeneration migration</t>
  </si>
  <si>
    <t>CMP0482</t>
  </si>
  <si>
    <t>Ameliorated clear-thinking workforce</t>
  </si>
  <si>
    <t>CMP0483</t>
  </si>
  <si>
    <t>Digitized secondary throughput</t>
  </si>
  <si>
    <t>CMP0484</t>
  </si>
  <si>
    <t>Team-oriented well-modulated customer loyalty</t>
  </si>
  <si>
    <t>CMP0485</t>
  </si>
  <si>
    <t>Face-to-face contextually-based hardware</t>
  </si>
  <si>
    <t>CMP0486</t>
  </si>
  <si>
    <t>Compatible reciprocal help-desk</t>
  </si>
  <si>
    <t>CMP0487</t>
  </si>
  <si>
    <t>Customer-focused value-added synergy</t>
  </si>
  <si>
    <t>CMP0488</t>
  </si>
  <si>
    <t>Grass-roots real-time contingency</t>
  </si>
  <si>
    <t>CMP0489</t>
  </si>
  <si>
    <t>Proactive zero-defect matrix</t>
  </si>
  <si>
    <t>CMP0490</t>
  </si>
  <si>
    <t>Networked systemic parallelism</t>
  </si>
  <si>
    <t>CMP0491</t>
  </si>
  <si>
    <t>Pre-emptive human-resource help-desk</t>
  </si>
  <si>
    <t>CMP0492</t>
  </si>
  <si>
    <t>Object-based coherent intranet</t>
  </si>
  <si>
    <t>CMP0493</t>
  </si>
  <si>
    <t>Synchronized static Local Area Network</t>
  </si>
  <si>
    <t>CMP0494</t>
  </si>
  <si>
    <t>Realigned dynamic benchmark</t>
  </si>
  <si>
    <t>CMP0495</t>
  </si>
  <si>
    <t>Realigned non-volatile interface</t>
  </si>
  <si>
    <t>CMP0496</t>
  </si>
  <si>
    <t>Enhanced directional synergy</t>
  </si>
  <si>
    <t>CMP0497</t>
  </si>
  <si>
    <t>Cross-platform attitude-oriented moderator</t>
  </si>
  <si>
    <t>CMP0498</t>
  </si>
  <si>
    <t>Digitized uniform portal</t>
  </si>
  <si>
    <t>CMP0499</t>
  </si>
  <si>
    <t>Down-sized zero-defect archive</t>
  </si>
  <si>
    <t>CMP0500</t>
  </si>
  <si>
    <t>Up-sized client-driven Local Area Network</t>
  </si>
  <si>
    <t>CMP0501</t>
  </si>
  <si>
    <t>Function-based encompassing workforce</t>
  </si>
  <si>
    <t>CMP0502</t>
  </si>
  <si>
    <t>Automated local knowledge user</t>
  </si>
  <si>
    <t>CMP0503</t>
  </si>
  <si>
    <t>Devolved national software</t>
  </si>
  <si>
    <t>CMP0504</t>
  </si>
  <si>
    <t>Extended transitional Graphical User Interface</t>
  </si>
  <si>
    <t>CMP0505</t>
  </si>
  <si>
    <t>Front-line zero tolerance leverage</t>
  </si>
  <si>
    <t>CMP0506</t>
  </si>
  <si>
    <t>Upgradable neutral focus group</t>
  </si>
  <si>
    <t>CMP0507</t>
  </si>
  <si>
    <t>Profit-focused analyzing customer loyalty</t>
  </si>
  <si>
    <t>CMP0508</t>
  </si>
  <si>
    <t>Virtual bifurcated artificial intelligence</t>
  </si>
  <si>
    <t>CMP0509</t>
  </si>
  <si>
    <t>Synchronized directional Graphical User Interface</t>
  </si>
  <si>
    <t>CMP0510</t>
  </si>
  <si>
    <t>Organic full-range website</t>
  </si>
  <si>
    <t>CMP0511</t>
  </si>
  <si>
    <t>Cross-group holistic array</t>
  </si>
  <si>
    <t>CMP0512</t>
  </si>
  <si>
    <t>Persistent regional website</t>
  </si>
  <si>
    <t>CMP0513</t>
  </si>
  <si>
    <t>Reactive full-range ability</t>
  </si>
  <si>
    <t>CMP0514</t>
  </si>
  <si>
    <t>Face-to-face executive core</t>
  </si>
  <si>
    <t>CMP0515</t>
  </si>
  <si>
    <t>Operative stable analyzer</t>
  </si>
  <si>
    <t>CMP0516</t>
  </si>
  <si>
    <t>Managed disintermediate knowledgebase</t>
  </si>
  <si>
    <t>CMP0517</t>
  </si>
  <si>
    <t>Future-proofed local implementation</t>
  </si>
  <si>
    <t>CMP0518</t>
  </si>
  <si>
    <t>Self-enabling user-facing Internet solution</t>
  </si>
  <si>
    <t>CMP0519</t>
  </si>
  <si>
    <t>Persistent attitude-oriented encoding</t>
  </si>
  <si>
    <t>CMP0520</t>
  </si>
  <si>
    <t>Synergistic responsive data-warehouse</t>
  </si>
  <si>
    <t>CMP0521</t>
  </si>
  <si>
    <t>Customer-focused zero administration challenge</t>
  </si>
  <si>
    <t>CMP0522</t>
  </si>
  <si>
    <t>Universal client-server productivity</t>
  </si>
  <si>
    <t>CMP0523</t>
  </si>
  <si>
    <t>Distributed holistic model</t>
  </si>
  <si>
    <t>CMP0524</t>
  </si>
  <si>
    <t>Team-oriented upward-trending middleware</t>
  </si>
  <si>
    <t>CMP0525</t>
  </si>
  <si>
    <t>Organized zero administration installation</t>
  </si>
  <si>
    <t>CMP0526</t>
  </si>
  <si>
    <t>Horizontal actuating instruction set</t>
  </si>
  <si>
    <t>CMP0527</t>
  </si>
  <si>
    <t>Profound bifurcated secured line</t>
  </si>
  <si>
    <t>CMP0528</t>
  </si>
  <si>
    <t>Streamlined mobile hub</t>
  </si>
  <si>
    <t>CMP0529</t>
  </si>
  <si>
    <t>Multi-layered mission-critical parallelism</t>
  </si>
  <si>
    <t>CMP0530</t>
  </si>
  <si>
    <t>Team-oriented disintermediate knowledge user</t>
  </si>
  <si>
    <t>CMP0531</t>
  </si>
  <si>
    <t>User-centric methodical database</t>
  </si>
  <si>
    <t>CMP0532</t>
  </si>
  <si>
    <t>Organic upward-trending portal</t>
  </si>
  <si>
    <t>CMP0533</t>
  </si>
  <si>
    <t>Networked 6thgeneration moderator</t>
  </si>
  <si>
    <t>CMP0534</t>
  </si>
  <si>
    <t>Multi-tiered neutral projection</t>
  </si>
  <si>
    <t>CMP0535</t>
  </si>
  <si>
    <t>Intuitive homogeneous array</t>
  </si>
  <si>
    <t>CMP0536</t>
  </si>
  <si>
    <t>Re-contextualized global budgetary management</t>
  </si>
  <si>
    <t>CMP0537</t>
  </si>
  <si>
    <t>Versatile impactful product</t>
  </si>
  <si>
    <t>CMP0538</t>
  </si>
  <si>
    <t>Progressive neutral archive</t>
  </si>
  <si>
    <t>CMP0539</t>
  </si>
  <si>
    <t>Compatible transitional project</t>
  </si>
  <si>
    <t>CMP0540</t>
  </si>
  <si>
    <t>Distributed asymmetric hub</t>
  </si>
  <si>
    <t>CMP0541</t>
  </si>
  <si>
    <t>Public-key fault-tolerant firmware</t>
  </si>
  <si>
    <t>CMP0542</t>
  </si>
  <si>
    <t>Vision-oriented local knowledgebase</t>
  </si>
  <si>
    <t>CMP0543</t>
  </si>
  <si>
    <t>Reverse-engineered executive forecast</t>
  </si>
  <si>
    <t>CMP0544</t>
  </si>
  <si>
    <t>Versatile radical circuit</t>
  </si>
  <si>
    <t>CMP0545</t>
  </si>
  <si>
    <t>Team-oriented zero tolerance alliance</t>
  </si>
  <si>
    <t>CMP0546</t>
  </si>
  <si>
    <t>Persistent context-sensitive system engine</t>
  </si>
  <si>
    <t>CMP0547</t>
  </si>
  <si>
    <t>Progressive intermediate benchmark</t>
  </si>
  <si>
    <t>CMP0548</t>
  </si>
  <si>
    <t>Reduced didactic interface</t>
  </si>
  <si>
    <t>CMP0549</t>
  </si>
  <si>
    <t>Upgradable coherent moratorium</t>
  </si>
  <si>
    <t>CMP0550</t>
  </si>
  <si>
    <t>Devolved didactic process improvement</t>
  </si>
  <si>
    <t>CMP0551</t>
  </si>
  <si>
    <t>Function-based national methodology</t>
  </si>
  <si>
    <t>CMP0552</t>
  </si>
  <si>
    <t>Future-proofed eco-centric synergy</t>
  </si>
  <si>
    <t>CMP0553</t>
  </si>
  <si>
    <t>Monitored system-worthy matrix</t>
  </si>
  <si>
    <t>CMP0554</t>
  </si>
  <si>
    <t>Reduced impactful monitoring</t>
  </si>
  <si>
    <t>CMP0555</t>
  </si>
  <si>
    <t>Switchable responsive extranet</t>
  </si>
  <si>
    <t>CMP0556</t>
  </si>
  <si>
    <t>User-centric hybrid open system</t>
  </si>
  <si>
    <t>CMP0557</t>
  </si>
  <si>
    <t>Focused actuating protocol</t>
  </si>
  <si>
    <t>CMP0558</t>
  </si>
  <si>
    <t>Total composite challenge</t>
  </si>
  <si>
    <t>CMP0559</t>
  </si>
  <si>
    <t>Diverse needs-based firmware</t>
  </si>
  <si>
    <t>CMP0560</t>
  </si>
  <si>
    <t>Phased context-sensitive function</t>
  </si>
  <si>
    <t>CMP0561</t>
  </si>
  <si>
    <t>Digitized client-server knowledgebase</t>
  </si>
  <si>
    <t>CMP0562</t>
  </si>
  <si>
    <t>Seamless local migration</t>
  </si>
  <si>
    <t>CMP0563</t>
  </si>
  <si>
    <t>Pre-emptive user-facing frame</t>
  </si>
  <si>
    <t>CMP0564</t>
  </si>
  <si>
    <t>Front-line real-time algorithm</t>
  </si>
  <si>
    <t>CMP0565</t>
  </si>
  <si>
    <t>Horizontal content-based website</t>
  </si>
  <si>
    <t>CMP0566</t>
  </si>
  <si>
    <t>Progressive regional knowledgebase</t>
  </si>
  <si>
    <t>CMP0567</t>
  </si>
  <si>
    <t>Realigned modular framework</t>
  </si>
  <si>
    <t>CMP0568</t>
  </si>
  <si>
    <t>Fully-configurable upward-trending access</t>
  </si>
  <si>
    <t>CMP0569</t>
  </si>
  <si>
    <t>Re-contextualized interactive monitoring</t>
  </si>
  <si>
    <t>CMP0570</t>
  </si>
  <si>
    <t>Reduced reciprocal definition</t>
  </si>
  <si>
    <t>CMP0571</t>
  </si>
  <si>
    <t>Synergized zero-defect extranet</t>
  </si>
  <si>
    <t>CMP0572</t>
  </si>
  <si>
    <t>User-centric 24/7 function</t>
  </si>
  <si>
    <t>CMP0573</t>
  </si>
  <si>
    <t>Implemented fresh-thinking firmware</t>
  </si>
  <si>
    <t>CMP0574</t>
  </si>
  <si>
    <t>Devolved attitude-oriented pricing structure</t>
  </si>
  <si>
    <t>CMP0575</t>
  </si>
  <si>
    <t>Optional directional policy</t>
  </si>
  <si>
    <t>CMP0576</t>
  </si>
  <si>
    <t>Reactive user-facing hierarchy</t>
  </si>
  <si>
    <t>CMP0577</t>
  </si>
  <si>
    <t>Distributed dedicated capability</t>
  </si>
  <si>
    <t>CMP0578</t>
  </si>
  <si>
    <t>Expanded human-resource benchmark</t>
  </si>
  <si>
    <t>CMP0579</t>
  </si>
  <si>
    <t>Cloned reciprocal knowledge user</t>
  </si>
  <si>
    <t>CMP0580</t>
  </si>
  <si>
    <t>Profit-focused contextually-based open architecture</t>
  </si>
  <si>
    <t>CMP0581</t>
  </si>
  <si>
    <t>Up-sized background infrastructure</t>
  </si>
  <si>
    <t>CMP0582</t>
  </si>
  <si>
    <t>Up-sized secondary core</t>
  </si>
  <si>
    <t>CMP0583</t>
  </si>
  <si>
    <t>Automated clear-thinking middleware</t>
  </si>
  <si>
    <t>CMP0584</t>
  </si>
  <si>
    <t>Advanced clear-thinking project</t>
  </si>
  <si>
    <t>CMP0585</t>
  </si>
  <si>
    <t>Fundamental empowering architecture</t>
  </si>
  <si>
    <t>CMP0586</t>
  </si>
  <si>
    <t>Cross-platform even-keeled hardware</t>
  </si>
  <si>
    <t>CMP0587</t>
  </si>
  <si>
    <t>Optional 5thgeneration flexibility</t>
  </si>
  <si>
    <t>CMP0588</t>
  </si>
  <si>
    <t>Object-based responsive Graphic Interface</t>
  </si>
  <si>
    <t>CMP0589</t>
  </si>
  <si>
    <t>Implemented next generation customer loyalty</t>
  </si>
  <si>
    <t>CMP0590</t>
  </si>
  <si>
    <t>Managed user-facing model</t>
  </si>
  <si>
    <t>CMP0591</t>
  </si>
  <si>
    <t>Monitored static emulation</t>
  </si>
  <si>
    <t>CMP0592</t>
  </si>
  <si>
    <t>Optimized well-modulated array</t>
  </si>
  <si>
    <t>CMP0593</t>
  </si>
  <si>
    <t>Realigned analyzing monitoring</t>
  </si>
  <si>
    <t>CMP0594</t>
  </si>
  <si>
    <t>Versatile executive flexibility</t>
  </si>
  <si>
    <t>CMP0595</t>
  </si>
  <si>
    <t>Realigned hybrid methodology</t>
  </si>
  <si>
    <t>CMP0596</t>
  </si>
  <si>
    <t>Reverse-engineered national concept</t>
  </si>
  <si>
    <t>CMP0597</t>
  </si>
  <si>
    <t>Multi-tiered high-level toolset</t>
  </si>
  <si>
    <t>CMP0598</t>
  </si>
  <si>
    <t>Focused asynchronous challenge</t>
  </si>
  <si>
    <t>CMP0599</t>
  </si>
  <si>
    <t>Compatible modular standardization</t>
  </si>
  <si>
    <t>CMP0600</t>
  </si>
  <si>
    <t>Enhanced client-driven interface</t>
  </si>
  <si>
    <t>CMP0601</t>
  </si>
  <si>
    <t>Extended foreground conglomeration</t>
  </si>
  <si>
    <t>CMP0602</t>
  </si>
  <si>
    <t>Proactive transitional synergy</t>
  </si>
  <si>
    <t>CMP0603</t>
  </si>
  <si>
    <t>Versatile neutral challenge</t>
  </si>
  <si>
    <t>CMP0604</t>
  </si>
  <si>
    <t>Optional maximized concept</t>
  </si>
  <si>
    <t>CMP0605</t>
  </si>
  <si>
    <t>Digitized asynchronous definition</t>
  </si>
  <si>
    <t>CMP0606</t>
  </si>
  <si>
    <t>Assimilated empowering model</t>
  </si>
  <si>
    <t>CMP0607</t>
  </si>
  <si>
    <t>Extended disintermediate ability</t>
  </si>
  <si>
    <t>CMP0608</t>
  </si>
  <si>
    <t>Managed directional infrastructure</t>
  </si>
  <si>
    <t>CMP0609</t>
  </si>
  <si>
    <t>Seamless analyzing methodology</t>
  </si>
  <si>
    <t>CMP0610</t>
  </si>
  <si>
    <t>Streamlined encompassing archive</t>
  </si>
  <si>
    <t>CMP0611</t>
  </si>
  <si>
    <t>Business-focused regional implementation</t>
  </si>
  <si>
    <t>CMP0612</t>
  </si>
  <si>
    <t>Cloned well-modulated artificial intelligence</t>
  </si>
  <si>
    <t>CMP0613</t>
  </si>
  <si>
    <t>Versatile responsive website</t>
  </si>
  <si>
    <t>CMP0614</t>
  </si>
  <si>
    <t>Customer-focused zero administration archive</t>
  </si>
  <si>
    <t>CMP0615</t>
  </si>
  <si>
    <t>Phased fresh-thinking ability</t>
  </si>
  <si>
    <t>CMP0616</t>
  </si>
  <si>
    <t>Pre-emptive even-keeled projection</t>
  </si>
  <si>
    <t>CMP0617</t>
  </si>
  <si>
    <t>Stand-alone disintermediate forecast</t>
  </si>
  <si>
    <t>CMP0618</t>
  </si>
  <si>
    <t>Universal responsive ability</t>
  </si>
  <si>
    <t>CMP0619</t>
  </si>
  <si>
    <t>Synchronized tangible help-desk</t>
  </si>
  <si>
    <t>CMP0620</t>
  </si>
  <si>
    <t>Open-source heuristic orchestration</t>
  </si>
  <si>
    <t>CMP0621</t>
  </si>
  <si>
    <t>Down-sized 5thgeneration customer loyalty</t>
  </si>
  <si>
    <t>CMP0622</t>
  </si>
  <si>
    <t>Synchronized optimizing moratorium</t>
  </si>
  <si>
    <t>CMP0623</t>
  </si>
  <si>
    <t>Focused non-volatile encryption</t>
  </si>
  <si>
    <t>CMP0624</t>
  </si>
  <si>
    <t>Quality-focused content-based paradigm</t>
  </si>
  <si>
    <t>CMP0625</t>
  </si>
  <si>
    <t>Multi-tiered full-range support</t>
  </si>
  <si>
    <t>CMP0626</t>
  </si>
  <si>
    <t>Public-key fresh-thinking matrices</t>
  </si>
  <si>
    <t>CMP0627</t>
  </si>
  <si>
    <t>Monitored systemic moderator</t>
  </si>
  <si>
    <t>CMP0628</t>
  </si>
  <si>
    <t>Organic didactic utilization</t>
  </si>
  <si>
    <t>CMP0629</t>
  </si>
  <si>
    <t>Polarized asynchronous alliance</t>
  </si>
  <si>
    <t>CMP0630</t>
  </si>
  <si>
    <t>Managed fault-tolerant complexity</t>
  </si>
  <si>
    <t>CMP0631</t>
  </si>
  <si>
    <t>Advanced reciprocal moratorium</t>
  </si>
  <si>
    <t>CMP0632</t>
  </si>
  <si>
    <t>User-friendly real-time portal</t>
  </si>
  <si>
    <t>CMP0633</t>
  </si>
  <si>
    <t>Progressive hybrid database</t>
  </si>
  <si>
    <t>CMP0634</t>
  </si>
  <si>
    <t>Networked well-modulated circuit</t>
  </si>
  <si>
    <t>CMP0635</t>
  </si>
  <si>
    <t>Cross-platform 3rdgeneration flexibility</t>
  </si>
  <si>
    <t>CMP0636</t>
  </si>
  <si>
    <t>Intuitive optimizing collaboration</t>
  </si>
  <si>
    <t>CMP0637</t>
  </si>
  <si>
    <t>Profit-focused zero tolerance intranet</t>
  </si>
  <si>
    <t>CMP0638</t>
  </si>
  <si>
    <t>Cross-group incremental architecture</t>
  </si>
  <si>
    <t>CMP0639</t>
  </si>
  <si>
    <t>Profound logistical conglomeration</t>
  </si>
  <si>
    <t>CMP0640</t>
  </si>
  <si>
    <t>Robust 24/7 ability</t>
  </si>
  <si>
    <t>CMP0641</t>
  </si>
  <si>
    <t>Automated 6thgeneration alliance</t>
  </si>
  <si>
    <t>CMP0642</t>
  </si>
  <si>
    <t>Reduced well-modulated benchmark</t>
  </si>
  <si>
    <t>CMP0643</t>
  </si>
  <si>
    <t>Team-oriented mobile challenge</t>
  </si>
  <si>
    <t>CMP0644</t>
  </si>
  <si>
    <t>Grass-roots background alliance</t>
  </si>
  <si>
    <t>CMP0645</t>
  </si>
  <si>
    <t>Reduced zero-defect throughput</t>
  </si>
  <si>
    <t>CMP0646</t>
  </si>
  <si>
    <t>Customer-focused disintermediate capacity</t>
  </si>
  <si>
    <t>CMP0647</t>
  </si>
  <si>
    <t>Balanced neutral algorithm</t>
  </si>
  <si>
    <t>CMP0648</t>
  </si>
  <si>
    <t>Multi-lateral executive contingency</t>
  </si>
  <si>
    <t>CMP0649</t>
  </si>
  <si>
    <t>Persevering heuristic portal</t>
  </si>
  <si>
    <t>CMP0650</t>
  </si>
  <si>
    <t>Face-to-face exuding software</t>
  </si>
  <si>
    <t>CMP0651</t>
  </si>
  <si>
    <t>Front-line coherent Graphical User Interface</t>
  </si>
  <si>
    <t>CMP0652</t>
  </si>
  <si>
    <t>Realigned regional analyzer</t>
  </si>
  <si>
    <t>CMP0653</t>
  </si>
  <si>
    <t>Implemented exuding application</t>
  </si>
  <si>
    <t>CMP0654</t>
  </si>
  <si>
    <t>Enhanced uniform definition</t>
  </si>
  <si>
    <t>CMP0655</t>
  </si>
  <si>
    <t>Open-architected uniform task-force</t>
  </si>
  <si>
    <t>CMP0656</t>
  </si>
  <si>
    <t>Progressive human-resource capability</t>
  </si>
  <si>
    <t>CMP0657</t>
  </si>
  <si>
    <t>Automated next generation analyzer</t>
  </si>
  <si>
    <t>CMP0658</t>
  </si>
  <si>
    <t>Function-based eco-centric forecast</t>
  </si>
  <si>
    <t>CMP0659</t>
  </si>
  <si>
    <t>Digitized web-enabled interface</t>
  </si>
  <si>
    <t>CMP0660</t>
  </si>
  <si>
    <t>Centralized tertiary groupware</t>
  </si>
  <si>
    <t>CMP0661</t>
  </si>
  <si>
    <t>Monitored tangible strategy</t>
  </si>
  <si>
    <t>CMP0662</t>
  </si>
  <si>
    <t>Multi-lateral uniform emulation</t>
  </si>
  <si>
    <t>CMP0663</t>
  </si>
  <si>
    <t>Organized 24/7 customer loyalty</t>
  </si>
  <si>
    <t>CMP0664</t>
  </si>
  <si>
    <t>Extended interactive artificial intelligence</t>
  </si>
  <si>
    <t>CMP0665</t>
  </si>
  <si>
    <t>Adaptive discrete implementation</t>
  </si>
  <si>
    <t>CMP0666</t>
  </si>
  <si>
    <t>Seamless leadingedge structure</t>
  </si>
  <si>
    <t>CMP0667</t>
  </si>
  <si>
    <t>Pre-emptive fault-tolerant array</t>
  </si>
  <si>
    <t>CMP0668</t>
  </si>
  <si>
    <t>Innovative static success</t>
  </si>
  <si>
    <t>CMP0669</t>
  </si>
  <si>
    <t>Future-proofed solution-oriented concept</t>
  </si>
  <si>
    <t>CMP0670</t>
  </si>
  <si>
    <t>Re-contextualized even-keeled installation</t>
  </si>
  <si>
    <t>CMP0671</t>
  </si>
  <si>
    <t>Automated transitional initiative</t>
  </si>
  <si>
    <t>CMP0672</t>
  </si>
  <si>
    <t>Monitored disintermediate protocol</t>
  </si>
  <si>
    <t>CMP0673</t>
  </si>
  <si>
    <t>Switchable client-server product</t>
  </si>
  <si>
    <t>CMP0674</t>
  </si>
  <si>
    <t>Open-architected didactic forecast</t>
  </si>
  <si>
    <t>CMP0675</t>
  </si>
  <si>
    <t>Multi-tiered homogeneous hierarchy</t>
  </si>
  <si>
    <t>CMP0676</t>
  </si>
  <si>
    <t>Self-enabling needs-based focus group</t>
  </si>
  <si>
    <t>CMP0677</t>
  </si>
  <si>
    <t>Centralized value-added collaboration</t>
  </si>
  <si>
    <t>CMP0678</t>
  </si>
  <si>
    <t>Devolved explicit strategy</t>
  </si>
  <si>
    <t>CMP0679</t>
  </si>
  <si>
    <t>Re-engineered needs-based flexibility</t>
  </si>
  <si>
    <t>CMP0680</t>
  </si>
  <si>
    <t>Innovative eco-centric neural-net</t>
  </si>
  <si>
    <t>CMP0681</t>
  </si>
  <si>
    <t>Self-enabling national hardware</t>
  </si>
  <si>
    <t>CMP0682</t>
  </si>
  <si>
    <t>Realigned responsive customer loyalty</t>
  </si>
  <si>
    <t>CMP0683</t>
  </si>
  <si>
    <t>Switchable regional utilization</t>
  </si>
  <si>
    <t>CMP0684</t>
  </si>
  <si>
    <t>Team-oriented bottom-line approach</t>
  </si>
  <si>
    <t>CMP0685</t>
  </si>
  <si>
    <t>Switchable well-modulated access</t>
  </si>
  <si>
    <t>CMP0686</t>
  </si>
  <si>
    <t>Stand-alone cohesive flexibility</t>
  </si>
  <si>
    <t>CMP0687</t>
  </si>
  <si>
    <t>Devolved asynchronous pricing structure</t>
  </si>
  <si>
    <t>CMP0688</t>
  </si>
  <si>
    <t>Implemented homogeneous approach</t>
  </si>
  <si>
    <t>CMP0689</t>
  </si>
  <si>
    <t>Self-enabling leadingedge functionalities</t>
  </si>
  <si>
    <t>CMP0690</t>
  </si>
  <si>
    <t>Triple-buffered incremental installation</t>
  </si>
  <si>
    <t>CMP0691</t>
  </si>
  <si>
    <t>Organic value-added artificial intelligence</t>
  </si>
  <si>
    <t>CMP0692</t>
  </si>
  <si>
    <t>Distributed zero tolerance support</t>
  </si>
  <si>
    <t>CMP0693</t>
  </si>
  <si>
    <t>Inverse mobile benchmark</t>
  </si>
  <si>
    <t>CMP0694</t>
  </si>
  <si>
    <t>Grass-roots multi-tasking software</t>
  </si>
  <si>
    <t>CMP0695</t>
  </si>
  <si>
    <t>Innovative dedicated superstructure</t>
  </si>
  <si>
    <t>CMP0696</t>
  </si>
  <si>
    <t>Fully-configurable systemic contingency</t>
  </si>
  <si>
    <t>CMP0697</t>
  </si>
  <si>
    <t>Object-based upward-trending challenge</t>
  </si>
  <si>
    <t>CMP0698</t>
  </si>
  <si>
    <t>Pre-emptive 6thgeneration artificial intelligence</t>
  </si>
  <si>
    <t>CMP0699</t>
  </si>
  <si>
    <t>Organized logistical extranet</t>
  </si>
  <si>
    <t>CMP0700</t>
  </si>
  <si>
    <t>Optimized heuristic software</t>
  </si>
  <si>
    <t>CMP0701</t>
  </si>
  <si>
    <t>Quality-focused non-volatile firmware</t>
  </si>
  <si>
    <t>CMP0702</t>
  </si>
  <si>
    <t>Extended bottom-line policy</t>
  </si>
  <si>
    <t>CMP0703</t>
  </si>
  <si>
    <t>Vision-oriented radical success</t>
  </si>
  <si>
    <t>CMP0704</t>
  </si>
  <si>
    <t>Exclusive foreground architecture</t>
  </si>
  <si>
    <t>CMP0705</t>
  </si>
  <si>
    <t>Devolved incremental archive</t>
  </si>
  <si>
    <t>CMP0706</t>
  </si>
  <si>
    <t>Cross-group discrete toolset</t>
  </si>
  <si>
    <t>CMP0707</t>
  </si>
  <si>
    <t>Networked transitional Local Area Network</t>
  </si>
  <si>
    <t>CMP0708</t>
  </si>
  <si>
    <t>Multi-lateral asynchronous capability</t>
  </si>
  <si>
    <t>CMP0709</t>
  </si>
  <si>
    <t>Profound empowering infrastructure</t>
  </si>
  <si>
    <t>CMP0710</t>
  </si>
  <si>
    <t>Streamlined context-sensitive pricing structure</t>
  </si>
  <si>
    <t>CMP0711</t>
  </si>
  <si>
    <t>Multi-lateral mobile time-frame</t>
  </si>
  <si>
    <t>CMP0712</t>
  </si>
  <si>
    <t>Up-sized leadingedge implementation</t>
  </si>
  <si>
    <t>CMP0713</t>
  </si>
  <si>
    <t>Diverse mobile matrix</t>
  </si>
  <si>
    <t>CMP0714</t>
  </si>
  <si>
    <t>Robust bottom-line approach</t>
  </si>
  <si>
    <t>CMP0715</t>
  </si>
  <si>
    <t>De-engineered tertiary infrastructure</t>
  </si>
  <si>
    <t>CMP0716</t>
  </si>
  <si>
    <t>Operative intangible solution</t>
  </si>
  <si>
    <t>CMP0717</t>
  </si>
  <si>
    <t>Monitored full-range moderator</t>
  </si>
  <si>
    <t>CMP0718</t>
  </si>
  <si>
    <t>Organized incremental customer loyalty</t>
  </si>
  <si>
    <t>CMP0719</t>
  </si>
  <si>
    <t>Cross-group dynamic emulation</t>
  </si>
  <si>
    <t>CMP0720</t>
  </si>
  <si>
    <t>Object-based 3rdgeneration solution</t>
  </si>
  <si>
    <t>CMP0721</t>
  </si>
  <si>
    <t>Quality-focused encompassing project</t>
  </si>
  <si>
    <t>CMP0722</t>
  </si>
  <si>
    <t>Extended secondary algorithm</t>
  </si>
  <si>
    <t>CMP0723</t>
  </si>
  <si>
    <t>Balanced cohesive website</t>
  </si>
  <si>
    <t>CMP0724</t>
  </si>
  <si>
    <t>Re-contextualized responsive policy</t>
  </si>
  <si>
    <t>CMP0725</t>
  </si>
  <si>
    <t>Reduced contextually-based application</t>
  </si>
  <si>
    <t>CMP0726</t>
  </si>
  <si>
    <t>Profit-focused context-sensitive installation</t>
  </si>
  <si>
    <t>CMP0727</t>
  </si>
  <si>
    <t>Reactive 24hour paradigm</t>
  </si>
  <si>
    <t>CMP0728</t>
  </si>
  <si>
    <t>Customizable upward-trending knowledge user</t>
  </si>
  <si>
    <t>CMP0729</t>
  </si>
  <si>
    <t>Synergistic 24/7 functionalities</t>
  </si>
  <si>
    <t>CMP0730</t>
  </si>
  <si>
    <t>Universal global monitoring</t>
  </si>
  <si>
    <t>CMP0731</t>
  </si>
  <si>
    <t>Expanded scalable parallelism</t>
  </si>
  <si>
    <t>CMP0732</t>
  </si>
  <si>
    <t>Configurable interactive project</t>
  </si>
  <si>
    <t>CMP0733</t>
  </si>
  <si>
    <t>Balanced eco-centric alliance</t>
  </si>
  <si>
    <t>CMP0734</t>
  </si>
  <si>
    <t>Stand-alone maximized protocol</t>
  </si>
  <si>
    <t>CMP0735</t>
  </si>
  <si>
    <t>Expanded executive core</t>
  </si>
  <si>
    <t>CMP0736</t>
  </si>
  <si>
    <t>Synchronized content-based project</t>
  </si>
  <si>
    <t>CMP0737</t>
  </si>
  <si>
    <t>Progressive user-facing support</t>
  </si>
  <si>
    <t>CMP0738</t>
  </si>
  <si>
    <t>Advanced regional forecast</t>
  </si>
  <si>
    <t>CMP0739</t>
  </si>
  <si>
    <t>Focused context-sensitive benchmark</t>
  </si>
  <si>
    <t>CMP0740</t>
  </si>
  <si>
    <t>Proactive modular moderator</t>
  </si>
  <si>
    <t>CMP0741</t>
  </si>
  <si>
    <t>Managed real-time capability</t>
  </si>
  <si>
    <t>CMP0742</t>
  </si>
  <si>
    <t>Persevering asymmetric complexity</t>
  </si>
  <si>
    <t>CMP0743</t>
  </si>
  <si>
    <t>Versatile intermediate parallelism</t>
  </si>
  <si>
    <t>CMP0744</t>
  </si>
  <si>
    <t>Integrated real-time groupware</t>
  </si>
  <si>
    <t>CMP0745</t>
  </si>
  <si>
    <t>Advanced zero-defect alliance</t>
  </si>
  <si>
    <t>CMP0746</t>
  </si>
  <si>
    <t>Ergonomic disintermediate help-desk</t>
  </si>
  <si>
    <t>CMP0747</t>
  </si>
  <si>
    <t>Secured system-worthy throughput</t>
  </si>
  <si>
    <t>CMP0748</t>
  </si>
  <si>
    <t>Front-line clear-thinking infrastructure</t>
  </si>
  <si>
    <t>CMP0749</t>
  </si>
  <si>
    <t>Multi-layered user-facing interface</t>
  </si>
  <si>
    <t>CMP0750</t>
  </si>
  <si>
    <t>Implemented zero tolerance support</t>
  </si>
  <si>
    <t>CMP0751</t>
  </si>
  <si>
    <t>Innovative non-volatile Local Area Network</t>
  </si>
  <si>
    <t>CMP0752</t>
  </si>
  <si>
    <t>Upgradable dynamic array</t>
  </si>
  <si>
    <t>CMP0753</t>
  </si>
  <si>
    <t>Enterprise-wide scalable framework</t>
  </si>
  <si>
    <t>CMP0754</t>
  </si>
  <si>
    <t>Team-oriented zero administration firmware</t>
  </si>
  <si>
    <t>CMP0755</t>
  </si>
  <si>
    <t>Universal 6thgeneration protocol</t>
  </si>
  <si>
    <t>CMP0756</t>
  </si>
  <si>
    <t>Integrated real-time software</t>
  </si>
  <si>
    <t>CMP0757</t>
  </si>
  <si>
    <t>Automated optimizing conglomeration</t>
  </si>
  <si>
    <t>CMP0758</t>
  </si>
  <si>
    <t>Total interactive forecast</t>
  </si>
  <si>
    <t>CMP0759</t>
  </si>
  <si>
    <t>Up-sized web-enabled standardization</t>
  </si>
  <si>
    <t>CMP0760</t>
  </si>
  <si>
    <t>Seamless dynamic monitoring</t>
  </si>
  <si>
    <t>CMP0761</t>
  </si>
  <si>
    <t>Decentralized eco-centric standardization</t>
  </si>
  <si>
    <t>CMP0762</t>
  </si>
  <si>
    <t>Exclusive modular neural-net</t>
  </si>
  <si>
    <t>CMP0763</t>
  </si>
  <si>
    <t>Persevering maximized archive</t>
  </si>
  <si>
    <t>CMP0764</t>
  </si>
  <si>
    <t>Diverse intermediate methodology</t>
  </si>
  <si>
    <t>CMP0765</t>
  </si>
  <si>
    <t>Future-proofed systemic help-desk</t>
  </si>
  <si>
    <t>CMP0766</t>
  </si>
  <si>
    <t>Assimilated disintermediate project</t>
  </si>
  <si>
    <t>CMP0767</t>
  </si>
  <si>
    <t>Seamless 24/7 instruction set</t>
  </si>
  <si>
    <t>CMP0768</t>
  </si>
  <si>
    <t>Expanded content-based Graphical User Interface</t>
  </si>
  <si>
    <t>CMP0769</t>
  </si>
  <si>
    <t>Self-enabling demand-driven emulation</t>
  </si>
  <si>
    <t>CMP0770</t>
  </si>
  <si>
    <t>Networked user-facing encoding</t>
  </si>
  <si>
    <t>CMP0771</t>
  </si>
  <si>
    <t>Automated demand-driven matrix</t>
  </si>
  <si>
    <t>CMP0772</t>
  </si>
  <si>
    <t>Polarized incremental protocol</t>
  </si>
  <si>
    <t>CMP0773</t>
  </si>
  <si>
    <t>Cross-platform encompassing capability</t>
  </si>
  <si>
    <t>CMP0774</t>
  </si>
  <si>
    <t>Enhanced 5thgeneration monitoring</t>
  </si>
  <si>
    <t>CMP0775</t>
  </si>
  <si>
    <t>Devolved zero tolerance open system</t>
  </si>
  <si>
    <t>CMP0776</t>
  </si>
  <si>
    <t>Realigned coherent interface</t>
  </si>
  <si>
    <t>CMP0777</t>
  </si>
  <si>
    <t>Progressive fresh-thinking encoding</t>
  </si>
  <si>
    <t>CMP0778</t>
  </si>
  <si>
    <t>Customizable scalable circuit</t>
  </si>
  <si>
    <t>CMP0779</t>
  </si>
  <si>
    <t>Streamlined didactic Graphical User Interface</t>
  </si>
  <si>
    <t>CMP0780</t>
  </si>
  <si>
    <t>Intuitive context-sensitive analyzer</t>
  </si>
  <si>
    <t>CMP0781</t>
  </si>
  <si>
    <t>Multi-lateral 3rdgeneration Local Area Network</t>
  </si>
  <si>
    <t>CMP0782</t>
  </si>
  <si>
    <t>Ameliorated multi-tasking utilization</t>
  </si>
  <si>
    <t>CMP0783</t>
  </si>
  <si>
    <t>Fundamental maximized software</t>
  </si>
  <si>
    <t>CMP0784</t>
  </si>
  <si>
    <t>Cross-platform context-sensitive project</t>
  </si>
  <si>
    <t>CMP0785</t>
  </si>
  <si>
    <t>Extended systematic policy</t>
  </si>
  <si>
    <t>CMP0786</t>
  </si>
  <si>
    <t>Stand-alone composite time-frame</t>
  </si>
  <si>
    <t>CMP0787</t>
  </si>
  <si>
    <t>Total modular function</t>
  </si>
  <si>
    <t>CMP0788</t>
  </si>
  <si>
    <t>Devolved zero tolerance Graphic Interface</t>
  </si>
  <si>
    <t>CMP0789</t>
  </si>
  <si>
    <t>Front-line tertiary concept</t>
  </si>
  <si>
    <t>CMP0790</t>
  </si>
  <si>
    <t>Horizontal motivating toolset</t>
  </si>
  <si>
    <t>CMP0791</t>
  </si>
  <si>
    <t>User-friendly maximized complexity</t>
  </si>
  <si>
    <t>CMP0792</t>
  </si>
  <si>
    <t>Mandatory 24/7 array</t>
  </si>
  <si>
    <t>CMP0793</t>
  </si>
  <si>
    <t>Team-oriented leadingedge encoding</t>
  </si>
  <si>
    <t>CMP0794</t>
  </si>
  <si>
    <t>Team-oriented cohesive parallelism</t>
  </si>
  <si>
    <t>CMP0795</t>
  </si>
  <si>
    <t>Organic contextually-based definition</t>
  </si>
  <si>
    <t>CMP0796</t>
  </si>
  <si>
    <t>Business-focused user-facing monitoring</t>
  </si>
  <si>
    <t>CMP0797</t>
  </si>
  <si>
    <t>Managed cohesive solution</t>
  </si>
  <si>
    <t>CMP0798</t>
  </si>
  <si>
    <t>Profit-focused 24/7 architecture</t>
  </si>
  <si>
    <t>CMP0799</t>
  </si>
  <si>
    <t>Decentralized zero tolerance concept</t>
  </si>
  <si>
    <t>CMP0800</t>
  </si>
  <si>
    <t>Reduced user-facing synergy</t>
  </si>
  <si>
    <t>CMP0801</t>
  </si>
  <si>
    <t>Synchronized responsive groupware</t>
  </si>
  <si>
    <t>CMP0802</t>
  </si>
  <si>
    <t>Cross-group interactive Internet solution</t>
  </si>
  <si>
    <t>CMP0803</t>
  </si>
  <si>
    <t>Assimilated 24/7 strategy</t>
  </si>
  <si>
    <t>CMP0804</t>
  </si>
  <si>
    <t>Multi-layered demand-driven interface</t>
  </si>
  <si>
    <t>CMP0805</t>
  </si>
  <si>
    <t>Sharable explicit matrix</t>
  </si>
  <si>
    <t>CMP0806</t>
  </si>
  <si>
    <t>Assimilated executive hierarchy</t>
  </si>
  <si>
    <t>CMP0807</t>
  </si>
  <si>
    <t>Proactive contextually-based concept</t>
  </si>
  <si>
    <t>CMP0808</t>
  </si>
  <si>
    <t>Integrated system-worthy initiative</t>
  </si>
  <si>
    <t>CMP0809</t>
  </si>
  <si>
    <t>Optional fresh-thinking protocol</t>
  </si>
  <si>
    <t>CMP0810</t>
  </si>
  <si>
    <t>Universal homogeneous website</t>
  </si>
  <si>
    <t>CMP0811</t>
  </si>
  <si>
    <t>Exclusive client-server secured line</t>
  </si>
  <si>
    <t>CMP0812</t>
  </si>
  <si>
    <t>Focused system-worthy encryption</t>
  </si>
  <si>
    <t>CMP0813</t>
  </si>
  <si>
    <t>Managed methodical implementation</t>
  </si>
  <si>
    <t>CMP0814</t>
  </si>
  <si>
    <t>Phased solution-oriented protocol</t>
  </si>
  <si>
    <t>CMP0815</t>
  </si>
  <si>
    <t>Enhanced optimal info-mediaries</t>
  </si>
  <si>
    <t>CMP0816</t>
  </si>
  <si>
    <t>Business-focused human-resource synergy</t>
  </si>
  <si>
    <t>CMP0817</t>
  </si>
  <si>
    <t>Networked homogeneous infrastructure</t>
  </si>
  <si>
    <t>CMP0818</t>
  </si>
  <si>
    <t>Reduced maximized encoding</t>
  </si>
  <si>
    <t>CMP0819</t>
  </si>
  <si>
    <t>Focused hybrid middleware</t>
  </si>
  <si>
    <t>CMP0820</t>
  </si>
  <si>
    <t>Multi-lateral upward-trending extranet</t>
  </si>
  <si>
    <t>CMP0821</t>
  </si>
  <si>
    <t>Multi-tiered scalable task-force</t>
  </si>
  <si>
    <t>CMP0822</t>
  </si>
  <si>
    <t>Assimilated fault-tolerant capacity</t>
  </si>
  <si>
    <t>CMP0823</t>
  </si>
  <si>
    <t>Operative executive implementation</t>
  </si>
  <si>
    <t>CMP0824</t>
  </si>
  <si>
    <t>Intuitive 3rdgeneration open architecture</t>
  </si>
  <si>
    <t>CMP0825</t>
  </si>
  <si>
    <t>Fundamental maximized conglomeration</t>
  </si>
  <si>
    <t>CMP0826</t>
  </si>
  <si>
    <t>Right-sized tertiary matrix</t>
  </si>
  <si>
    <t>CMP0827</t>
  </si>
  <si>
    <t>Grass-roots radical budgetary management</t>
  </si>
  <si>
    <t>CMP0828</t>
  </si>
  <si>
    <t>Quality-focused asynchronous intranet</t>
  </si>
  <si>
    <t>CMP0829</t>
  </si>
  <si>
    <t>Cross-platform executive moderator</t>
  </si>
  <si>
    <t>CMP0830</t>
  </si>
  <si>
    <t>Organized asymmetric help-desk</t>
  </si>
  <si>
    <t>CMP0831</t>
  </si>
  <si>
    <t>User-friendly 24hour help-desk</t>
  </si>
  <si>
    <t>CMP0832</t>
  </si>
  <si>
    <t>Re-engineered methodical moratorium</t>
  </si>
  <si>
    <t>CMP0833</t>
  </si>
  <si>
    <t>Inverse 4thgeneration interface</t>
  </si>
  <si>
    <t>CMP0834</t>
  </si>
  <si>
    <t>Monitored responsive contingency</t>
  </si>
  <si>
    <t>CMP0835</t>
  </si>
  <si>
    <t>Reverse-engineered modular matrix</t>
  </si>
  <si>
    <t>CMP0836</t>
  </si>
  <si>
    <t>Cross-group secondary adapter</t>
  </si>
  <si>
    <t>CMP0837</t>
  </si>
  <si>
    <t>Seamless 24/7 customer loyalty</t>
  </si>
  <si>
    <t>CMP0838</t>
  </si>
  <si>
    <t>Re-contextualized zero administration contingency</t>
  </si>
  <si>
    <t>CMP0839</t>
  </si>
  <si>
    <t>Secured intermediate project</t>
  </si>
  <si>
    <t>CMP0840</t>
  </si>
  <si>
    <t>Triple-buffered encompassing core</t>
  </si>
  <si>
    <t>CMP0841</t>
  </si>
  <si>
    <t>Adaptive discrete info-mediaries</t>
  </si>
  <si>
    <t>CMP0842</t>
  </si>
  <si>
    <t>Monitored encompassing policy</t>
  </si>
  <si>
    <t>CMP0843</t>
  </si>
  <si>
    <t>Open-source global migration</t>
  </si>
  <si>
    <t>CMP0844</t>
  </si>
  <si>
    <t>Open-architected system-worthy superstructure</t>
  </si>
  <si>
    <t>CMP0845</t>
  </si>
  <si>
    <t>Customer-focused scalable paradigm</t>
  </si>
  <si>
    <t>CMP0846</t>
  </si>
  <si>
    <t>Optional background software</t>
  </si>
  <si>
    <t>CMP0847</t>
  </si>
  <si>
    <t>Polarized demand-driven alliance</t>
  </si>
  <si>
    <t>CMP0848</t>
  </si>
  <si>
    <t>User-friendly encompassing protocol</t>
  </si>
  <si>
    <t>CMP0849</t>
  </si>
  <si>
    <t>Profound didactic standardization</t>
  </si>
  <si>
    <t>CMP0850</t>
  </si>
  <si>
    <t>Implemented system-worthy algorithm</t>
  </si>
  <si>
    <t>CMP0851</t>
  </si>
  <si>
    <t>Streamlined transitional budgetary management</t>
  </si>
  <si>
    <t>CMP0852</t>
  </si>
  <si>
    <t>Monitored 6thgeneration functionalities</t>
  </si>
  <si>
    <t>CMP0853</t>
  </si>
  <si>
    <t>Function-based web-enabled migration</t>
  </si>
  <si>
    <t>CMP0854</t>
  </si>
  <si>
    <t>Profound didactic moratorium</t>
  </si>
  <si>
    <t>CMP0855</t>
  </si>
  <si>
    <t>User-friendly client-server functionalities</t>
  </si>
  <si>
    <t>CMP0856</t>
  </si>
  <si>
    <t>Synergized composite initiative</t>
  </si>
  <si>
    <t>CMP0857</t>
  </si>
  <si>
    <t>Streamlined optimizing parallelism</t>
  </si>
  <si>
    <t>CMP0858</t>
  </si>
  <si>
    <t>Front-line dynamic utilization</t>
  </si>
  <si>
    <t>CMP0859</t>
  </si>
  <si>
    <t>Intuitive asymmetric encryption</t>
  </si>
  <si>
    <t>CMP0860</t>
  </si>
  <si>
    <t>Customizable static encoding</t>
  </si>
  <si>
    <t>CMP0861</t>
  </si>
  <si>
    <t>Open-architected contextually-based circuit</t>
  </si>
  <si>
    <t>CMP0862</t>
  </si>
  <si>
    <t>Right-sized 4thgeneration attitude</t>
  </si>
  <si>
    <t>CMP0863</t>
  </si>
  <si>
    <t>Secured cohesive installation</t>
  </si>
  <si>
    <t>CMP0864</t>
  </si>
  <si>
    <t>Synergized leadingedge frame</t>
  </si>
  <si>
    <t>CMP0865</t>
  </si>
  <si>
    <t>Seamless next generation superstructure</t>
  </si>
  <si>
    <t>CMP0866</t>
  </si>
  <si>
    <t>Universal static frame</t>
  </si>
  <si>
    <t>CMP0867</t>
  </si>
  <si>
    <t>Right-sized tertiary leverage</t>
  </si>
  <si>
    <t>CMP0868</t>
  </si>
  <si>
    <t>Function-based 3rdgeneration knowledgebase</t>
  </si>
  <si>
    <t>CMP0869</t>
  </si>
  <si>
    <t>Self-enabling user-facing challenge</t>
  </si>
  <si>
    <t>CMP0870</t>
  </si>
  <si>
    <t>Persistent hybrid intranet</t>
  </si>
  <si>
    <t>CMP0871</t>
  </si>
  <si>
    <t>Customer-focused 5thgeneration frame</t>
  </si>
  <si>
    <t>CMP0872</t>
  </si>
  <si>
    <t>Public-key 6thgeneration open architecture</t>
  </si>
  <si>
    <t>CMP0873</t>
  </si>
  <si>
    <t>Robust incremental archive</t>
  </si>
  <si>
    <t>CMP0874</t>
  </si>
  <si>
    <t>Right-sized client-server support</t>
  </si>
  <si>
    <t>CMP0875</t>
  </si>
  <si>
    <t>Profound empowering open architecture</t>
  </si>
  <si>
    <t>CMP0876</t>
  </si>
  <si>
    <t>Optimized client-server access</t>
  </si>
  <si>
    <t>CMP0877</t>
  </si>
  <si>
    <t>Multi-tiered holistic product</t>
  </si>
  <si>
    <t>CMP0878</t>
  </si>
  <si>
    <t>Extended analyzing adapter</t>
  </si>
  <si>
    <t>CMP0879</t>
  </si>
  <si>
    <t>Public-key mobile alliance</t>
  </si>
  <si>
    <t>CMP0880</t>
  </si>
  <si>
    <t>Progressive modular circuit</t>
  </si>
  <si>
    <t>CMP0881</t>
  </si>
  <si>
    <t>De-engineered holistic moratorium</t>
  </si>
  <si>
    <t>CMP0882</t>
  </si>
  <si>
    <t>Grass-roots heuristic contingency</t>
  </si>
  <si>
    <t>CMP0883</t>
  </si>
  <si>
    <t>Open-source encompassing Graphical User Interface</t>
  </si>
  <si>
    <t>CMP0884</t>
  </si>
  <si>
    <t>Pre-emptive methodical task-force</t>
  </si>
  <si>
    <t>CMP0885</t>
  </si>
  <si>
    <t>Total regional attitude</t>
  </si>
  <si>
    <t>CMP0886</t>
  </si>
  <si>
    <t>Compatible uniform Local Area Network</t>
  </si>
  <si>
    <t>CMP0887</t>
  </si>
  <si>
    <t>Reverse-engineered holistic portal</t>
  </si>
  <si>
    <t>CMP0888</t>
  </si>
  <si>
    <t>Switchable holistic array</t>
  </si>
  <si>
    <t>CMP0889</t>
  </si>
  <si>
    <t>User-centric didactic complexity</t>
  </si>
  <si>
    <t>CMP0890</t>
  </si>
  <si>
    <t>Cloned methodical adapter</t>
  </si>
  <si>
    <t>CMP0891</t>
  </si>
  <si>
    <t>Phased static initiative</t>
  </si>
  <si>
    <t>CMP0892</t>
  </si>
  <si>
    <t>Multi-channeled multimedia complexity</t>
  </si>
  <si>
    <t>CMP0893</t>
  </si>
  <si>
    <t>Business-focused foreground intranet</t>
  </si>
  <si>
    <t>CMP0894</t>
  </si>
  <si>
    <t>Face-to-face disintermediate forecast</t>
  </si>
  <si>
    <t>CMP0895</t>
  </si>
  <si>
    <t>Self-enabling next generation knowledge user</t>
  </si>
  <si>
    <t>CMP0896</t>
  </si>
  <si>
    <t>Total explicit focus group</t>
  </si>
  <si>
    <t>CMP0897</t>
  </si>
  <si>
    <t>Reactive tangible migration</t>
  </si>
  <si>
    <t>CMP0898</t>
  </si>
  <si>
    <t>Object-based 24hour architecture</t>
  </si>
  <si>
    <t>CMP0899</t>
  </si>
  <si>
    <t>Public-key multimedia function</t>
  </si>
  <si>
    <t>CMP0900</t>
  </si>
  <si>
    <t>Operative scalable focus group</t>
  </si>
  <si>
    <t>CMP0901</t>
  </si>
  <si>
    <t>Inverse background utilization</t>
  </si>
  <si>
    <t>CMP0902</t>
  </si>
  <si>
    <t>Ameliorated homogeneous software</t>
  </si>
  <si>
    <t>CMP0903</t>
  </si>
  <si>
    <t>Synergistic empowering adapter</t>
  </si>
  <si>
    <t>CMP0904</t>
  </si>
  <si>
    <t>Phased didactic solution</t>
  </si>
  <si>
    <t>CMP0905</t>
  </si>
  <si>
    <t>Polarized optimal migration</t>
  </si>
  <si>
    <t>CMP0906</t>
  </si>
  <si>
    <t>Phased transitional capability</t>
  </si>
  <si>
    <t>CMP0907</t>
  </si>
  <si>
    <t>Synchronized optimal approach</t>
  </si>
  <si>
    <t>CMP0908</t>
  </si>
  <si>
    <t>Right-sized bi-directional flexibility</t>
  </si>
  <si>
    <t>CMP0909</t>
  </si>
  <si>
    <t>Business-focused neutral initiative</t>
  </si>
  <si>
    <t>CMP0910</t>
  </si>
  <si>
    <t>Compatible optimizing support</t>
  </si>
  <si>
    <t>CMP0911</t>
  </si>
  <si>
    <t>Sharable dedicated access</t>
  </si>
  <si>
    <t>CMP0912</t>
  </si>
  <si>
    <t>Enterprise-wide directional middleware</t>
  </si>
  <si>
    <t>CMP0913</t>
  </si>
  <si>
    <t>Fundamental human-resource complexity</t>
  </si>
  <si>
    <t>CMP0914</t>
  </si>
  <si>
    <t>Stand-alone optimizing concept</t>
  </si>
  <si>
    <t>CMP0915</t>
  </si>
  <si>
    <t>Multi-layered holistic process improvement</t>
  </si>
  <si>
    <t>CMP0916</t>
  </si>
  <si>
    <t>Networked reciprocal productivity</t>
  </si>
  <si>
    <t>CMP0917</t>
  </si>
  <si>
    <t>Quality-focused multimedia capability</t>
  </si>
  <si>
    <t>CMP0918</t>
  </si>
  <si>
    <t>Horizontal stable hardware</t>
  </si>
  <si>
    <t>CMP0919</t>
  </si>
  <si>
    <t>Programmable zero administration support</t>
  </si>
  <si>
    <t>CMP0920</t>
  </si>
  <si>
    <t>Optional optimal open system</t>
  </si>
  <si>
    <t>CMP0921</t>
  </si>
  <si>
    <t>Managed next generation challenge</t>
  </si>
  <si>
    <t>CMP0922</t>
  </si>
  <si>
    <t>Optimized next generation website</t>
  </si>
  <si>
    <t>CMP0923</t>
  </si>
  <si>
    <t>Customer-focused global projection</t>
  </si>
  <si>
    <t>CMP0924</t>
  </si>
  <si>
    <t>Pre-emptive regional process improvement</t>
  </si>
  <si>
    <t>CMP0925</t>
  </si>
  <si>
    <t>De-engineered composite protocol</t>
  </si>
  <si>
    <t>CMP0926</t>
  </si>
  <si>
    <t>Horizontal solution-oriented core</t>
  </si>
  <si>
    <t>CMP0927</t>
  </si>
  <si>
    <t>Visionary incremental conglomeration</t>
  </si>
  <si>
    <t>CMP0928</t>
  </si>
  <si>
    <t>Integrated object-oriented implementation</t>
  </si>
  <si>
    <t>CMP0929</t>
  </si>
  <si>
    <t>Customizable even-keeled firmware</t>
  </si>
  <si>
    <t>CMP0930</t>
  </si>
  <si>
    <t>Down-sized bi-directional analyzer</t>
  </si>
  <si>
    <t>CMP0931</t>
  </si>
  <si>
    <t>Synergistic well-modulated process improvement</t>
  </si>
  <si>
    <t>CMP0932</t>
  </si>
  <si>
    <t>Progressive eco-centric function</t>
  </si>
  <si>
    <t>CMP0933</t>
  </si>
  <si>
    <t>Self-enabling well-modulated flexibility</t>
  </si>
  <si>
    <t>CMP0934</t>
  </si>
  <si>
    <t>Diverse bottom-line knowledge user</t>
  </si>
  <si>
    <t>CMP0935</t>
  </si>
  <si>
    <t>Open-source reciprocal secured line</t>
  </si>
  <si>
    <t>CMP0936</t>
  </si>
  <si>
    <t>Mandatory 24/7 complexity</t>
  </si>
  <si>
    <t>CMP0937</t>
  </si>
  <si>
    <t>Cross-platform dynamic attitude</t>
  </si>
  <si>
    <t>CMP0938</t>
  </si>
  <si>
    <t>Cloned coherent process improvement</t>
  </si>
  <si>
    <t>CMP0939</t>
  </si>
  <si>
    <t>Self-enabling secondary capability</t>
  </si>
  <si>
    <t>CMP0940</t>
  </si>
  <si>
    <t>Versatile well-modulated extranet</t>
  </si>
  <si>
    <t>CMP0941</t>
  </si>
  <si>
    <t>Organic transitional structure</t>
  </si>
  <si>
    <t>CMP0942</t>
  </si>
  <si>
    <t>Switchable optimal open architecture</t>
  </si>
  <si>
    <t>CMP0943</t>
  </si>
  <si>
    <t>Enhanced 24hour benchmark</t>
  </si>
  <si>
    <t>CMP0944</t>
  </si>
  <si>
    <t>Stand-alone maximized software</t>
  </si>
  <si>
    <t>CMP0945</t>
  </si>
  <si>
    <t>Open-architected client-server array</t>
  </si>
  <si>
    <t>CMP0946</t>
  </si>
  <si>
    <t>Organic incremental matrix</t>
  </si>
  <si>
    <t>CMP0947</t>
  </si>
  <si>
    <t>Profit-focused context-sensitive product</t>
  </si>
  <si>
    <t>CMP0948</t>
  </si>
  <si>
    <t>Customizable tangible toolset</t>
  </si>
  <si>
    <t>CMP0949</t>
  </si>
  <si>
    <t>Reduced user-facing system engine</t>
  </si>
  <si>
    <t>CMP0950</t>
  </si>
  <si>
    <t>Managed dynamic info-mediaries</t>
  </si>
  <si>
    <t>CMP0951</t>
  </si>
  <si>
    <t>Total hybrid solution</t>
  </si>
  <si>
    <t>CMP0952</t>
  </si>
  <si>
    <t>Extended interactive info-mediaries</t>
  </si>
  <si>
    <t>CMP0953</t>
  </si>
  <si>
    <t>Cross-platform bandwidth-monitored encryption</t>
  </si>
  <si>
    <t>CMP0954</t>
  </si>
  <si>
    <t>Cross-group hybrid complexity</t>
  </si>
  <si>
    <t>CMP0955</t>
  </si>
  <si>
    <t>Progressive explicit toolset</t>
  </si>
  <si>
    <t>CMP0956</t>
  </si>
  <si>
    <t>Team-oriented demand-driven database</t>
  </si>
  <si>
    <t>CMP0957</t>
  </si>
  <si>
    <t>Progressive scalable secured line</t>
  </si>
  <si>
    <t>CMP0958</t>
  </si>
  <si>
    <t>Sharable 3rdgeneration framework</t>
  </si>
  <si>
    <t>CMP0959</t>
  </si>
  <si>
    <t>Operative human-resource structure</t>
  </si>
  <si>
    <t>CMP0960</t>
  </si>
  <si>
    <t>Sharable multimedia project</t>
  </si>
  <si>
    <t>CMP0961</t>
  </si>
  <si>
    <t>Future-proofed discrete knowledge user</t>
  </si>
  <si>
    <t>CMP0962</t>
  </si>
  <si>
    <t>Horizontal maximized intranet</t>
  </si>
  <si>
    <t>CMP0963</t>
  </si>
  <si>
    <t>Configurable full-range support</t>
  </si>
  <si>
    <t>CMP0964</t>
  </si>
  <si>
    <t>Down-sized background utilization</t>
  </si>
  <si>
    <t>CMP0965</t>
  </si>
  <si>
    <t>Digitized web-enabled secured line</t>
  </si>
  <si>
    <t>CMP0966</t>
  </si>
  <si>
    <t>Virtual global data-warehouse</t>
  </si>
  <si>
    <t>CMP0967</t>
  </si>
  <si>
    <t>Adaptive dedicated implementation</t>
  </si>
  <si>
    <t>CMP0968</t>
  </si>
  <si>
    <t>Synergized even-keeled Local Area Network</t>
  </si>
  <si>
    <t>CMP0969</t>
  </si>
  <si>
    <t>Centralized content-based emulation</t>
  </si>
  <si>
    <t>CMP0970</t>
  </si>
  <si>
    <t>Face-to-face even-keeled concept</t>
  </si>
  <si>
    <t>CMP0971</t>
  </si>
  <si>
    <t>Programmable national data-warehouse</t>
  </si>
  <si>
    <t>CMP0972</t>
  </si>
  <si>
    <t>Fully-configurable mission-critical approach</t>
  </si>
  <si>
    <t>CMP0973</t>
  </si>
  <si>
    <t>Synergized regional array</t>
  </si>
  <si>
    <t>CMP0974</t>
  </si>
  <si>
    <t>Operative solution-oriented monitoring</t>
  </si>
  <si>
    <t>CMP0975</t>
  </si>
  <si>
    <t>Expanded asynchronous complexity</t>
  </si>
  <si>
    <t>CMP0976</t>
  </si>
  <si>
    <t>Integrated mission-critical Graphical User Interface</t>
  </si>
  <si>
    <t>CMP0977</t>
  </si>
  <si>
    <t>Cross-platform tertiary benchmark</t>
  </si>
  <si>
    <t>CMP0978</t>
  </si>
  <si>
    <t>Open-architected regional structure</t>
  </si>
  <si>
    <t>CMP0979</t>
  </si>
  <si>
    <t>Enterprise-wide impactful firmware</t>
  </si>
  <si>
    <t>CMP0980</t>
  </si>
  <si>
    <t>Implemented well-modulated moratorium</t>
  </si>
  <si>
    <t>CMP0981</t>
  </si>
  <si>
    <t>Proactive dynamic adapter</t>
  </si>
  <si>
    <t>CMP0982</t>
  </si>
  <si>
    <t>Sharable explicit system engine</t>
  </si>
  <si>
    <t>CMP0983</t>
  </si>
  <si>
    <t>Profit-focused system-worthy Graphical User Interface</t>
  </si>
  <si>
    <t>CMP0984</t>
  </si>
  <si>
    <t>Digitized dynamic structure</t>
  </si>
  <si>
    <t>CMP0985</t>
  </si>
  <si>
    <t>Configurable interactive instruction set</t>
  </si>
  <si>
    <t>CMP0986</t>
  </si>
  <si>
    <t>Reverse-engineered zero-defect approach</t>
  </si>
  <si>
    <t>CMP0987</t>
  </si>
  <si>
    <t>Vision-oriented impactful frame</t>
  </si>
  <si>
    <t>CMP0988</t>
  </si>
  <si>
    <t>Open-source interactive workforce</t>
  </si>
  <si>
    <t>CMP0989</t>
  </si>
  <si>
    <t>Seamless directional instruction set</t>
  </si>
  <si>
    <t>CMP0990</t>
  </si>
  <si>
    <t>Networked contextually-based Internet solution</t>
  </si>
  <si>
    <t>CMP0991</t>
  </si>
  <si>
    <t>Decentralized 4thgeneration structure</t>
  </si>
  <si>
    <t>CMP0992</t>
  </si>
  <si>
    <t>Open-source didactic application</t>
  </si>
  <si>
    <t>CMP0993</t>
  </si>
  <si>
    <t>Stand-alone context-sensitive groupware</t>
  </si>
  <si>
    <t>CMP0994</t>
  </si>
  <si>
    <t>Monitored dynamic matrix</t>
  </si>
  <si>
    <t>CMP0995</t>
  </si>
  <si>
    <t>Inverse value-added moderator</t>
  </si>
  <si>
    <t>CMP0996</t>
  </si>
  <si>
    <t>Vision-oriented object-oriented leverage</t>
  </si>
  <si>
    <t>CMP0997</t>
  </si>
  <si>
    <t>Multi-lateral explicit conglomeration</t>
  </si>
  <si>
    <t>CMP0998</t>
  </si>
  <si>
    <t>Reverse-engineered foreground focus group</t>
  </si>
  <si>
    <t>CMP0999</t>
  </si>
  <si>
    <t>Upgradable local workforce</t>
  </si>
  <si>
    <t>CMP1000</t>
  </si>
  <si>
    <t>Cloned bi-directional alliance</t>
  </si>
  <si>
    <t>CMP1001</t>
  </si>
  <si>
    <t>Vision-oriented multi-state secured line</t>
  </si>
  <si>
    <t>CMP1002</t>
  </si>
  <si>
    <t>Realigned cohesive customer loyalty</t>
  </si>
  <si>
    <t>CMP1003</t>
  </si>
  <si>
    <t>Reduced discrete strategy</t>
  </si>
  <si>
    <t>CMP1004</t>
  </si>
  <si>
    <t>Public-key methodical functionalities</t>
  </si>
  <si>
    <t>CMP1005</t>
  </si>
  <si>
    <t>Progressive even-keeled orchestration</t>
  </si>
  <si>
    <t>CMP1006</t>
  </si>
  <si>
    <t>Integrated 24hour extranet</t>
  </si>
  <si>
    <t>CMP1007</t>
  </si>
  <si>
    <t>Stand-alone human-resource software</t>
  </si>
  <si>
    <t>CMP1008</t>
  </si>
  <si>
    <t>Re-contextualized 6thgeneration open architecture</t>
  </si>
  <si>
    <t>CMP1009</t>
  </si>
  <si>
    <t>Public-key client-server Graphic Interface</t>
  </si>
  <si>
    <t>CMP1010</t>
  </si>
  <si>
    <t>Fully-configurable system-worthy paradigm</t>
  </si>
  <si>
    <t>CMP1011</t>
  </si>
  <si>
    <t>Organized foreground frame</t>
  </si>
  <si>
    <t>CMP1012</t>
  </si>
  <si>
    <t>Managed 3rdgeneration budgetary management</t>
  </si>
  <si>
    <t>CMP1013</t>
  </si>
  <si>
    <t>Monitored real-time customer loyalty</t>
  </si>
  <si>
    <t>CMP1014</t>
  </si>
  <si>
    <t>Open-architected regional moderator</t>
  </si>
  <si>
    <t>CMP1015</t>
  </si>
  <si>
    <t>Public-key disintermediate structure</t>
  </si>
  <si>
    <t>CMP1016</t>
  </si>
  <si>
    <t>Down-sized bottom-line website</t>
  </si>
  <si>
    <t>CMP1017</t>
  </si>
  <si>
    <t>Up-sized global utilization</t>
  </si>
  <si>
    <t>CMP1018</t>
  </si>
  <si>
    <t>Up-sized systemic definition</t>
  </si>
  <si>
    <t>CMP1019</t>
  </si>
  <si>
    <t>User-friendly multi-state model</t>
  </si>
  <si>
    <t>CMP1020</t>
  </si>
  <si>
    <t>Profound upward-trending framework</t>
  </si>
  <si>
    <t>CMP1021</t>
  </si>
  <si>
    <t>Up-sized methodical encryption</t>
  </si>
  <si>
    <t>CMP1022</t>
  </si>
  <si>
    <t>Proactive bottom-line toolset</t>
  </si>
  <si>
    <t>CMP1023</t>
  </si>
  <si>
    <t>Team-oriented real-time success</t>
  </si>
  <si>
    <t>CMP1024</t>
  </si>
  <si>
    <t>Profit-focused homogeneous software</t>
  </si>
  <si>
    <t>CMP1025</t>
  </si>
  <si>
    <t>Progressive scalable open architecture</t>
  </si>
  <si>
    <t>CMP1026</t>
  </si>
  <si>
    <t>Total value-added adapter</t>
  </si>
  <si>
    <t>CMP1027</t>
  </si>
  <si>
    <t>Organized encompassing software</t>
  </si>
  <si>
    <t>CMP1028</t>
  </si>
  <si>
    <t>Multi-lateral discrete hierarchy</t>
  </si>
  <si>
    <t>CMP1029</t>
  </si>
  <si>
    <t>Networked static framework</t>
  </si>
  <si>
    <t>CMP1030</t>
  </si>
  <si>
    <t>Intuitive non-volatile flexibility</t>
  </si>
  <si>
    <t>CMP1031</t>
  </si>
  <si>
    <t>Decentralized actuating algorithm</t>
  </si>
  <si>
    <t>CMP1032</t>
  </si>
  <si>
    <t>Balanced bandwidth-monitored orchestration</t>
  </si>
  <si>
    <t>CMP1033</t>
  </si>
  <si>
    <t>Integrated bottom-line solution</t>
  </si>
  <si>
    <t>CMP1034</t>
  </si>
  <si>
    <t>Visionary zero tolerance installation</t>
  </si>
  <si>
    <t>CMP1035</t>
  </si>
  <si>
    <t>Function-based didactic task-force</t>
  </si>
  <si>
    <t>CMP1036</t>
  </si>
  <si>
    <t>Triple-buffered zero administration framework</t>
  </si>
  <si>
    <t>CMP1037</t>
  </si>
  <si>
    <t>Stand-alone systemic website</t>
  </si>
  <si>
    <t>CMP1038</t>
  </si>
  <si>
    <t>Customizable modular challenge</t>
  </si>
  <si>
    <t>CMP1039</t>
  </si>
  <si>
    <t>Persistent 5thgeneration parallelism</t>
  </si>
  <si>
    <t>CMP1040</t>
  </si>
  <si>
    <t>Business-focused needs-based complexity</t>
  </si>
  <si>
    <t>CMP1041</t>
  </si>
  <si>
    <t>Organized dedicated array</t>
  </si>
  <si>
    <t>CMP1042</t>
  </si>
  <si>
    <t>Streamlined hybrid Internet solution</t>
  </si>
  <si>
    <t>CMP1043</t>
  </si>
  <si>
    <t>Configurable systematic groupware</t>
  </si>
  <si>
    <t>CMP1044</t>
  </si>
  <si>
    <t>Cross-group impactful hub</t>
  </si>
  <si>
    <t>CMP1045</t>
  </si>
  <si>
    <t>Future-proofed bifurcated extranet</t>
  </si>
  <si>
    <t>CMP1046</t>
  </si>
  <si>
    <t>Stand-alone intermediate challenge</t>
  </si>
  <si>
    <t>CMP1047</t>
  </si>
  <si>
    <t>Synergistic intangible paradigm</t>
  </si>
  <si>
    <t>CMP1048</t>
  </si>
  <si>
    <t>Public-key cohesive matrices</t>
  </si>
  <si>
    <t>CMP1049</t>
  </si>
  <si>
    <t>Upgradable real-time encoding</t>
  </si>
  <si>
    <t>CMP1050</t>
  </si>
  <si>
    <t>Grass-roots incremental frame</t>
  </si>
  <si>
    <t>CMP1051</t>
  </si>
  <si>
    <t>Pre-emptive homogeneous attitude</t>
  </si>
  <si>
    <t>CMP1052</t>
  </si>
  <si>
    <t>Assimilated bi-directional open system</t>
  </si>
  <si>
    <t>CMP1053</t>
  </si>
  <si>
    <t>De-engineered high-level customer loyalty</t>
  </si>
  <si>
    <t>CMP1054</t>
  </si>
  <si>
    <t>Open-architected solution-oriented superstructure</t>
  </si>
  <si>
    <t>CMP1055</t>
  </si>
  <si>
    <t>Re-engineered methodical Local Area Network</t>
  </si>
  <si>
    <t>CMP1056</t>
  </si>
  <si>
    <t>Fully-configurable explicit archive</t>
  </si>
  <si>
    <t>CMP1057</t>
  </si>
  <si>
    <t>Sharable full-range paradigm</t>
  </si>
  <si>
    <t>CMP1058</t>
  </si>
  <si>
    <t>Inverse scalable system engine</t>
  </si>
  <si>
    <t>CMP1059</t>
  </si>
  <si>
    <t>Devolved multimedia interface</t>
  </si>
  <si>
    <t>CMP1060</t>
  </si>
  <si>
    <t>Visionary full-range definition</t>
  </si>
  <si>
    <t>CMP1061</t>
  </si>
  <si>
    <t>Open-source composite function</t>
  </si>
  <si>
    <t>CMP1062</t>
  </si>
  <si>
    <t>Multi-tiered well-modulated adapter</t>
  </si>
  <si>
    <t>CMP1063</t>
  </si>
  <si>
    <t>Polarized 5thgeneration success</t>
  </si>
  <si>
    <t>CMP1064</t>
  </si>
  <si>
    <t>Business-focused full-range model</t>
  </si>
  <si>
    <t>CMP1065</t>
  </si>
  <si>
    <t>Synchronized explicit algorithm</t>
  </si>
  <si>
    <t>CMP1066</t>
  </si>
  <si>
    <t>Pre-emptive background Graphical User Interface</t>
  </si>
  <si>
    <t>CMP1067</t>
  </si>
  <si>
    <t>Face-to-face dedicated process improvement</t>
  </si>
  <si>
    <t>CMP1068</t>
  </si>
  <si>
    <t>Optimized fresh-thinking benchmark</t>
  </si>
  <si>
    <t>CMP1069</t>
  </si>
  <si>
    <t>Mandatory responsive knowledgebase</t>
  </si>
  <si>
    <t>CMP1070</t>
  </si>
  <si>
    <t>Secured maximized interface</t>
  </si>
  <si>
    <t>CMP1071</t>
  </si>
  <si>
    <t>Assimilated actuating capacity</t>
  </si>
  <si>
    <t>CMP1072</t>
  </si>
  <si>
    <t>Grass-roots real-time throughput</t>
  </si>
  <si>
    <t>CMP1073</t>
  </si>
  <si>
    <t>Sharable tangible solution</t>
  </si>
  <si>
    <t>CMP1074</t>
  </si>
  <si>
    <t>Assimilated real-time secured line</t>
  </si>
  <si>
    <t>CMP1075</t>
  </si>
  <si>
    <t>Organized uniform access</t>
  </si>
  <si>
    <t>CMP1076</t>
  </si>
  <si>
    <t>Reactive reciprocal website</t>
  </si>
  <si>
    <t>CMP1077</t>
  </si>
  <si>
    <t>Enterprise-wide upward-trending contingency</t>
  </si>
  <si>
    <t>CMP1078</t>
  </si>
  <si>
    <t>Right-sized bottom-line analyzer</t>
  </si>
  <si>
    <t>CMP1079</t>
  </si>
  <si>
    <t>Compatible bi-directional implementation</t>
  </si>
  <si>
    <t>CMP1080</t>
  </si>
  <si>
    <t>Grass-roots multi-tasking model</t>
  </si>
  <si>
    <t>CMP1081</t>
  </si>
  <si>
    <t>Open-source asynchronous service-desk</t>
  </si>
  <si>
    <t>CMP1082</t>
  </si>
  <si>
    <t>Fully-configurable clear-thinking synergy</t>
  </si>
  <si>
    <t>CMP1083</t>
  </si>
  <si>
    <t>Integrated multi-tasking encoding</t>
  </si>
  <si>
    <t>CMP1084</t>
  </si>
  <si>
    <t>Advanced fresh-thinking Local Area Network</t>
  </si>
  <si>
    <t>CMP1085</t>
  </si>
  <si>
    <t>Profit-focused multi-state intranet</t>
  </si>
  <si>
    <t>CMP1086</t>
  </si>
  <si>
    <t>Virtual composite paradigm</t>
  </si>
  <si>
    <t>CMP1087</t>
  </si>
  <si>
    <t>Reverse-engineered object-oriented instruction set</t>
  </si>
  <si>
    <t>CMP1088</t>
  </si>
  <si>
    <t>De-engineered composite website</t>
  </si>
  <si>
    <t>CMP1089</t>
  </si>
  <si>
    <t>Exclusive interactive hardware</t>
  </si>
  <si>
    <t>CMP1090</t>
  </si>
  <si>
    <t>User-friendly heuristic archive</t>
  </si>
  <si>
    <t>CMP1091</t>
  </si>
  <si>
    <t>Visionary static methodology</t>
  </si>
  <si>
    <t>CMP1092</t>
  </si>
  <si>
    <t>Versatile explicit productivity</t>
  </si>
  <si>
    <t>CMP1093</t>
  </si>
  <si>
    <t>Optimized bandwidth-monitored capability</t>
  </si>
  <si>
    <t>CMP1094</t>
  </si>
  <si>
    <t>Multi-layered incremental firmware</t>
  </si>
  <si>
    <t>CMP1095</t>
  </si>
  <si>
    <t>Programmable executive open system</t>
  </si>
  <si>
    <t>CMP1096</t>
  </si>
  <si>
    <t>Future-proofed secondary website</t>
  </si>
  <si>
    <t>CMP1097</t>
  </si>
  <si>
    <t>Advanced explicit forecast</t>
  </si>
  <si>
    <t>CMP1098</t>
  </si>
  <si>
    <t>Optional disintermediate collaboration</t>
  </si>
  <si>
    <t>CMP1099</t>
  </si>
  <si>
    <t>Team-oriented reciprocal Graphical User Interface</t>
  </si>
  <si>
    <t>CMP1100</t>
  </si>
  <si>
    <t>Cross-platform mobile open architecture</t>
  </si>
  <si>
    <t>CMP1101</t>
  </si>
  <si>
    <t>Synergistic analyzing application</t>
  </si>
  <si>
    <t>CMP1102</t>
  </si>
  <si>
    <t>Exclusive context-sensitive pricing structure</t>
  </si>
  <si>
    <t>CMP1103</t>
  </si>
  <si>
    <t>Inverse 6thgeneration functionalities</t>
  </si>
  <si>
    <t>CMP1104</t>
  </si>
  <si>
    <t>Multi-channeled fresh-thinking task-force</t>
  </si>
  <si>
    <t>CMP1105</t>
  </si>
  <si>
    <t>Customer-focused non-volatile website</t>
  </si>
  <si>
    <t>CMP1106</t>
  </si>
  <si>
    <t>Centralized 3rdgeneration methodology</t>
  </si>
  <si>
    <t>CMP1107</t>
  </si>
  <si>
    <t>Seamless discrete groupware</t>
  </si>
  <si>
    <t>CMP1108</t>
  </si>
  <si>
    <t>Compatible disintermediate toolset</t>
  </si>
  <si>
    <t>CMP1109</t>
  </si>
  <si>
    <t>Function-based directional moderator</t>
  </si>
  <si>
    <t>CMP1110</t>
  </si>
  <si>
    <t>Automated real-time application</t>
  </si>
  <si>
    <t>CMP1111</t>
  </si>
  <si>
    <t>Implemented optimizing database</t>
  </si>
  <si>
    <t>CMP1112</t>
  </si>
  <si>
    <t>Profit-focused hybrid matrix</t>
  </si>
  <si>
    <t>CMP1113</t>
  </si>
  <si>
    <t>Implemented local projection</t>
  </si>
  <si>
    <t>CMP1114</t>
  </si>
  <si>
    <t>Extended composite frame</t>
  </si>
  <si>
    <t>CMP1115</t>
  </si>
  <si>
    <t>Profit-focused cohesive orchestration</t>
  </si>
  <si>
    <t>CMP1116</t>
  </si>
  <si>
    <t>Up-sized web-enabled hardware</t>
  </si>
  <si>
    <t>CMP1117</t>
  </si>
  <si>
    <t>Assimilated bandwidth-monitored capacity</t>
  </si>
  <si>
    <t>CMP1118</t>
  </si>
  <si>
    <t>Programmable 6thgeneration moderator</t>
  </si>
  <si>
    <t>CMP1119</t>
  </si>
  <si>
    <t>De-engineered responsive artificial intelligence</t>
  </si>
  <si>
    <t>CMP1120</t>
  </si>
  <si>
    <t>Devolved 5thgeneration moratorium</t>
  </si>
  <si>
    <t>CMP1121</t>
  </si>
  <si>
    <t>Enterprise-wide 5thgeneration ability</t>
  </si>
  <si>
    <t>CMP1122</t>
  </si>
  <si>
    <t>Stand-alone content-based installation</t>
  </si>
  <si>
    <t>CMP1123</t>
  </si>
  <si>
    <t>Digitized didactic synergy</t>
  </si>
  <si>
    <t>CMP1124</t>
  </si>
  <si>
    <t>Multi-channeled human-resource frame</t>
  </si>
  <si>
    <t>CMP1125</t>
  </si>
  <si>
    <t>Balanced multimedia forecast</t>
  </si>
  <si>
    <t>CMP1126</t>
  </si>
  <si>
    <t>Extended intermediate project</t>
  </si>
  <si>
    <t>CMP1127</t>
  </si>
  <si>
    <t>Re-engineered system-worthy workforce</t>
  </si>
  <si>
    <t>CMP1128</t>
  </si>
  <si>
    <t>Synchronized homogeneous leverage</t>
  </si>
  <si>
    <t>CMP1129</t>
  </si>
  <si>
    <t>Customizable zero tolerance architecture</t>
  </si>
  <si>
    <t>CMP1130</t>
  </si>
  <si>
    <t>Synergized leadingedge pricing structure</t>
  </si>
  <si>
    <t>CMP1131</t>
  </si>
  <si>
    <t>Grass-roots grid-enabled help-desk</t>
  </si>
  <si>
    <t>CMP1132</t>
  </si>
  <si>
    <t>Persevering holistic circuit</t>
  </si>
  <si>
    <t>CMP1133</t>
  </si>
  <si>
    <t>Future-proofed attitude-oriented intranet</t>
  </si>
  <si>
    <t>CMP1134</t>
  </si>
  <si>
    <t>Multi-channeled exuding encryption</t>
  </si>
  <si>
    <t>CMP1135</t>
  </si>
  <si>
    <t>Optimized multi-state installation</t>
  </si>
  <si>
    <t>CMP1136</t>
  </si>
  <si>
    <t>Proactive radical array</t>
  </si>
  <si>
    <t>CMP1137</t>
  </si>
  <si>
    <t>Integrated secondary encoding</t>
  </si>
  <si>
    <t>CMP1138</t>
  </si>
  <si>
    <t>Networked multi-state array</t>
  </si>
  <si>
    <t>CMP1139</t>
  </si>
  <si>
    <t>Integrated system-worthy open architecture</t>
  </si>
  <si>
    <t>CMP1140</t>
  </si>
  <si>
    <t>Vision-oriented clear-thinking time-frame</t>
  </si>
  <si>
    <t>CMP1141</t>
  </si>
  <si>
    <t>Down-sized uniform archive</t>
  </si>
  <si>
    <t>CMP1142</t>
  </si>
  <si>
    <t>Front-line contextually-based extranet</t>
  </si>
  <si>
    <t>CMP1143</t>
  </si>
  <si>
    <t>Virtual heuristic database</t>
  </si>
  <si>
    <t>CMP1144</t>
  </si>
  <si>
    <t>Progressive zero administration info-mediaries</t>
  </si>
  <si>
    <t>CMP1145</t>
  </si>
  <si>
    <t>Seamless analyzing complexity</t>
  </si>
  <si>
    <t>CMP1146</t>
  </si>
  <si>
    <t>Diverse scalable algorithm</t>
  </si>
  <si>
    <t>CMP1147</t>
  </si>
  <si>
    <t>Innovative composite implementation</t>
  </si>
  <si>
    <t>CMP1148</t>
  </si>
  <si>
    <t>Implemented responsive capability</t>
  </si>
  <si>
    <t>CMP1149</t>
  </si>
  <si>
    <t>Total value-added open system</t>
  </si>
  <si>
    <t>CMP1150</t>
  </si>
  <si>
    <t>Devolved client-driven flexibility</t>
  </si>
  <si>
    <t>CMP1151</t>
  </si>
  <si>
    <t>Expanded heuristic strategy</t>
  </si>
  <si>
    <t>CMP1152</t>
  </si>
  <si>
    <t>Implemented even-keeled secured line</t>
  </si>
  <si>
    <t>CMP1153</t>
  </si>
  <si>
    <t>Configurable multimedia installation</t>
  </si>
  <si>
    <t>CMP1154</t>
  </si>
  <si>
    <t>De-engineered intangible concept</t>
  </si>
  <si>
    <t>CMP1155</t>
  </si>
  <si>
    <t>Future-proofed real-time functionalities</t>
  </si>
  <si>
    <t>CMP1156</t>
  </si>
  <si>
    <t>Adaptive methodical data-warehouse</t>
  </si>
  <si>
    <t>CMP1157</t>
  </si>
  <si>
    <t>Open-architected zero-defect moderator</t>
  </si>
  <si>
    <t>CMP1158</t>
  </si>
  <si>
    <t>Multi-layered systematic approach</t>
  </si>
  <si>
    <t>CMP1159</t>
  </si>
  <si>
    <t>Inverse 24hour process improvement</t>
  </si>
  <si>
    <t>CMP1160</t>
  </si>
  <si>
    <t>Mandatory uniform initiative</t>
  </si>
  <si>
    <t>CMP1161</t>
  </si>
  <si>
    <t>Extended modular strategy</t>
  </si>
  <si>
    <t>CMP1162</t>
  </si>
  <si>
    <t>Cross-platform neutral open architecture</t>
  </si>
  <si>
    <t>CMP1163</t>
  </si>
  <si>
    <t>Automated coherent alliance</t>
  </si>
  <si>
    <t>CMP1164</t>
  </si>
  <si>
    <t>Sharable incremental core</t>
  </si>
  <si>
    <t>CMP1165</t>
  </si>
  <si>
    <t>Expanded empowering project</t>
  </si>
  <si>
    <t>CMP1166</t>
  </si>
  <si>
    <t>Diverse multi-tasking framework</t>
  </si>
  <si>
    <t>CMP1167</t>
  </si>
  <si>
    <t>Inverse client-driven algorithm</t>
  </si>
  <si>
    <t>CMP1168</t>
  </si>
  <si>
    <t>Multi-channeled user-facing open system</t>
  </si>
  <si>
    <t>CMP1169</t>
  </si>
  <si>
    <t>Polarized foreground extranet</t>
  </si>
  <si>
    <t>CMP1170</t>
  </si>
  <si>
    <t>Exclusive clear-thinking project</t>
  </si>
  <si>
    <t>CMP1171</t>
  </si>
  <si>
    <t>Networked holistic matrices</t>
  </si>
  <si>
    <t>CMP1172</t>
  </si>
  <si>
    <t>Organized heuristic paradigm</t>
  </si>
  <si>
    <t>CMP1173</t>
  </si>
  <si>
    <t>Streamlined neutral process improvement</t>
  </si>
  <si>
    <t>CMP1174</t>
  </si>
  <si>
    <t>Enterprise-wide 5thgeneration secured line</t>
  </si>
  <si>
    <t>CMP1175</t>
  </si>
  <si>
    <t>Diverse tertiary challenge</t>
  </si>
  <si>
    <t>CMP1176</t>
  </si>
  <si>
    <t>Business-focused well-modulated strategy</t>
  </si>
  <si>
    <t>CMP1177</t>
  </si>
  <si>
    <t>Inverse attitude-oriented Local Area Network</t>
  </si>
  <si>
    <t>CMP1178</t>
  </si>
  <si>
    <t>Open-architected empowering software</t>
  </si>
  <si>
    <t>CMP1179</t>
  </si>
  <si>
    <t>Reduced even-keeled workforce</t>
  </si>
  <si>
    <t>CMP1180</t>
  </si>
  <si>
    <t>Organic dedicated standardization</t>
  </si>
  <si>
    <t>CMP1181</t>
  </si>
  <si>
    <t>Business-focused high-level secured line</t>
  </si>
  <si>
    <t>CMP1182</t>
  </si>
  <si>
    <t>Ergonomic holistic adapter</t>
  </si>
  <si>
    <t>CMP1183</t>
  </si>
  <si>
    <t>Compatible actuating system engine</t>
  </si>
  <si>
    <t>CMP1184</t>
  </si>
  <si>
    <t>Robust static moratorium</t>
  </si>
  <si>
    <t>CMP1185</t>
  </si>
  <si>
    <t>Open-source asymmetric toolset</t>
  </si>
  <si>
    <t>CMP1186</t>
  </si>
  <si>
    <t>Expanded bi-directional synergy</t>
  </si>
  <si>
    <t>CMP1187</t>
  </si>
  <si>
    <t>Reverse-engineered intermediate interface</t>
  </si>
  <si>
    <t>CMP1188</t>
  </si>
  <si>
    <t>Profound non-volatile knowledgebase</t>
  </si>
  <si>
    <t>CMP1189</t>
  </si>
  <si>
    <t>Ameliorated zero administration capacity</t>
  </si>
  <si>
    <t>CMP1190</t>
  </si>
  <si>
    <t>Expanded even-keeled migration</t>
  </si>
  <si>
    <t>CMP1191</t>
  </si>
  <si>
    <t>Polarized interactive pricing structure</t>
  </si>
  <si>
    <t>CMP1192</t>
  </si>
  <si>
    <t>Future-proofed reciprocal intranet</t>
  </si>
  <si>
    <t>CMP1193</t>
  </si>
  <si>
    <t>Expanded foreground initiative</t>
  </si>
  <si>
    <t>CMP1194</t>
  </si>
  <si>
    <t>Triple-buffered systematic moderator</t>
  </si>
  <si>
    <t>CMP1195</t>
  </si>
  <si>
    <t>User-centric zero-defect moratorium</t>
  </si>
  <si>
    <t>CMP1196</t>
  </si>
  <si>
    <t>Advanced directional customer loyalty</t>
  </si>
  <si>
    <t>CMP1197</t>
  </si>
  <si>
    <t>Multi-lateral optimal contingency</t>
  </si>
  <si>
    <t>CMP1198</t>
  </si>
  <si>
    <t>Customer-focused upward-trending contingency</t>
  </si>
  <si>
    <t>CMP1199</t>
  </si>
  <si>
    <t>Switchable systemic paradigm</t>
  </si>
  <si>
    <t>CMP1200</t>
  </si>
  <si>
    <t>Distributed reciprocal Internet solution</t>
  </si>
  <si>
    <t>Row Labels</t>
  </si>
  <si>
    <t>Grand Total</t>
  </si>
  <si>
    <t>Sum of revenue</t>
  </si>
  <si>
    <t>Sum of ad_spend</t>
  </si>
  <si>
    <t>Average of roi_percent</t>
  </si>
  <si>
    <t>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</si>
</sst>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/>
    <xf numFmtId="0" fontId="0" fillId="0" borderId="1" xfId="0" applyBorder="1"/>
    <xf numFmtId="2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7"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" refreshedDate="46150.89470798611" createdVersion="8" refreshedVersion="8" minRefreshableVersion="3" recordCount="1200" xr:uid="{1B83F3C3-8F80-49A1-AD4E-047D258D6318}">
  <cacheSource type="worksheet">
    <worksheetSource name="MKT"/>
  </cacheSource>
  <cacheFields count="18">
    <cacheField name="campaign_id" numFmtId="0">
      <sharedItems/>
    </cacheField>
    <cacheField name="campaign_name" numFmtId="0">
      <sharedItems/>
    </cacheField>
    <cacheField name="marketing_channel" numFmtId="0">
      <sharedItems count="5">
        <s v="Google Ads"/>
        <s v="LinkedIn Ads"/>
        <s v="Facebook Ads"/>
        <s v="Email Marketing"/>
        <s v="Instagram Ads"/>
      </sharedItems>
    </cacheField>
    <cacheField name="campaign_type" numFmtId="0">
      <sharedItems/>
    </cacheField>
    <cacheField name="region" numFmtId="0">
      <sharedItems/>
    </cacheField>
    <cacheField name="start_date" numFmtId="164">
      <sharedItems containsSemiMixedTypes="0" containsNonDate="0" containsDate="1" containsString="0" minDate="2024-01-01T00:00:00" maxDate="2024-11-27T00:00:00"/>
    </cacheField>
    <cacheField name="end_date" numFmtId="164">
      <sharedItems containsSemiMixedTypes="0" containsNonDate="0" containsDate="1" containsString="0" minDate="2024-01-11T00:00:00" maxDate="2025-01-07T00:00:00"/>
    </cacheField>
    <cacheField name="impressions" numFmtId="0">
      <sharedItems containsSemiMixedTypes="0" containsString="0" containsNumber="1" containsInteger="1" minValue="50102" maxValue="499818"/>
    </cacheField>
    <cacheField name="clicks" numFmtId="0">
      <sharedItems containsSemiMixedTypes="0" containsString="0" containsNumber="1" containsInteger="1" minValue="710" maxValue="48754"/>
    </cacheField>
    <cacheField name="conversions" numFmtId="0">
      <sharedItems containsSemiMixedTypes="0" containsString="0" containsNumber="1" containsInteger="1" minValue="20" maxValue="7034"/>
    </cacheField>
    <cacheField name="ad_spend" numFmtId="0">
      <sharedItems containsSemiMixedTypes="0" containsString="0" containsNumber="1" minValue="511.13" maxValue="24979.74"/>
    </cacheField>
    <cacheField name="revenue" numFmtId="0">
      <sharedItems containsSemiMixedTypes="0" containsString="0" containsNumber="1" minValue="1485.85" maxValue="140514.9"/>
    </cacheField>
    <cacheField name="ctr_percent" numFmtId="0">
      <sharedItems containsSemiMixedTypes="0" containsString="0" containsNumber="1" minValue="0.8" maxValue="9.98"/>
    </cacheField>
    <cacheField name="conversion_rate_percent" numFmtId="0">
      <sharedItems containsSemiMixedTypes="0" containsString="0" containsNumber="1" minValue="1.5" maxValue="17.96"/>
    </cacheField>
    <cacheField name="cpc" numFmtId="0">
      <sharedItems containsSemiMixedTypes="0" containsString="0" containsNumber="1" minValue="0.01" maxValue="27.71"/>
    </cacheField>
    <cacheField name="cpl" numFmtId="0">
      <sharedItems containsSemiMixedTypes="0" containsString="0" containsNumber="1" minValue="0.14000000000000001" maxValue="468.49"/>
    </cacheField>
    <cacheField name="roas" numFmtId="0">
      <sharedItems containsSemiMixedTypes="0" containsString="0" containsNumber="1" minValue="2.0099999999999998" maxValue="6.5"/>
    </cacheField>
    <cacheField name="roi_percent" numFmtId="0">
      <sharedItems containsSemiMixedTypes="0" containsString="0" containsNumber="1" minValue="100.92" maxValue="549.55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CMP0001"/>
    <s v="Mandatory tertiary benchmark"/>
    <x v="0"/>
    <s v="Awareness"/>
    <s v="UK"/>
    <d v="2024-02-14T00:00:00"/>
    <d v="2024-03-29T00:00:00"/>
    <n v="178393"/>
    <n v="6047"/>
    <n v="509"/>
    <n v="18533.990000000002"/>
    <n v="111478.39"/>
    <n v="3.39"/>
    <n v="8.42"/>
    <n v="3.06"/>
    <n v="36.409999999999997"/>
    <n v="6.01"/>
    <n v="501.48"/>
  </r>
  <r>
    <s v="CMP0002"/>
    <s v="Switchable dedicated task-force"/>
    <x v="1"/>
    <s v="Awareness"/>
    <s v="India"/>
    <d v="2024-10-06T00:00:00"/>
    <d v="2024-11-08T00:00:00"/>
    <n v="99123"/>
    <n v="1159"/>
    <n v="98"/>
    <n v="4424.58"/>
    <n v="12808.14"/>
    <n v="1.17"/>
    <n v="8.5399999999999991"/>
    <n v="3.82"/>
    <n v="45.15"/>
    <n v="2.89"/>
    <n v="189.48"/>
  </r>
  <r>
    <s v="CMP0003"/>
    <s v="Configurable zero tolerance knowledge user"/>
    <x v="2"/>
    <s v="Retention"/>
    <s v="Australia"/>
    <d v="2024-06-23T00:00:00"/>
    <d v="2024-07-17T00:00:00"/>
    <n v="195852"/>
    <n v="7696"/>
    <n v="156"/>
    <n v="15087.29"/>
    <n v="77573.22"/>
    <n v="3.93"/>
    <n v="2.0299999999999998"/>
    <n v="1.96"/>
    <n v="96.71"/>
    <n v="5.14"/>
    <n v="414.16"/>
  </r>
  <r>
    <s v="CMP0004"/>
    <s v="Balanced high-level hierarchy"/>
    <x v="2"/>
    <s v="Lead Generation"/>
    <s v="UK"/>
    <d v="2024-01-23T00:00:00"/>
    <d v="2024-02-28T00:00:00"/>
    <n v="103587"/>
    <n v="1843"/>
    <n v="45"/>
    <n v="15712.42"/>
    <n v="74111.83"/>
    <n v="1.78"/>
    <n v="2.48"/>
    <n v="8.5299999999999994"/>
    <n v="349.16"/>
    <n v="4.72"/>
    <n v="371.68"/>
  </r>
  <r>
    <s v="CMP0005"/>
    <s v="Sharable zero administration policy"/>
    <x v="3"/>
    <s v="Awareness"/>
    <s v="Canada"/>
    <d v="2024-10-22T00:00:00"/>
    <d v="2024-11-10T00:00:00"/>
    <n v="91313"/>
    <n v="6674"/>
    <n v="1087"/>
    <n v="3283.34"/>
    <n v="19298.43"/>
    <n v="7.31"/>
    <n v="16.29"/>
    <n v="0.49"/>
    <n v="3.02"/>
    <n v="5.88"/>
    <n v="487.77"/>
  </r>
  <r>
    <s v="CMP0006"/>
    <s v="Networked explicit website"/>
    <x v="0"/>
    <s v="Awareness"/>
    <s v="USA"/>
    <d v="2024-05-22T00:00:00"/>
    <d v="2024-06-27T00:00:00"/>
    <n v="455310"/>
    <n v="16664"/>
    <n v="746"/>
    <n v="9655.82"/>
    <n v="23700.27"/>
    <n v="3.66"/>
    <n v="4.4800000000000004"/>
    <n v="0.57999999999999996"/>
    <n v="12.94"/>
    <n v="2.4500000000000002"/>
    <n v="145.44999999999999"/>
  </r>
  <r>
    <s v="CMP0007"/>
    <s v="Focused scalable superstructure"/>
    <x v="4"/>
    <s v="Lead Generation"/>
    <s v="UK"/>
    <d v="2024-11-07T00:00:00"/>
    <d v="2024-11-24T00:00:00"/>
    <n v="236264"/>
    <n v="4110"/>
    <n v="99"/>
    <n v="14208.18"/>
    <n v="69849.679999999993"/>
    <n v="1.74"/>
    <n v="2.4300000000000002"/>
    <n v="3.46"/>
    <n v="143.52000000000001"/>
    <n v="4.92"/>
    <n v="391.62"/>
  </r>
  <r>
    <s v="CMP0008"/>
    <s v="Profound uniform middleware"/>
    <x v="3"/>
    <s v="Lead Generation"/>
    <s v="USA"/>
    <d v="2024-06-15T00:00:00"/>
    <d v="2024-06-25T00:00:00"/>
    <n v="292357"/>
    <n v="18360"/>
    <n v="3286"/>
    <n v="3380"/>
    <n v="15231.21"/>
    <n v="6.28"/>
    <n v="17.899999999999999"/>
    <n v="0.18"/>
    <n v="1.03"/>
    <n v="4.51"/>
    <n v="350.63"/>
  </r>
  <r>
    <s v="CMP0009"/>
    <s v="Phased discrete architecture"/>
    <x v="2"/>
    <s v="Awareness"/>
    <s v="UK"/>
    <d v="2024-06-10T00:00:00"/>
    <d v="2024-06-30T00:00:00"/>
    <n v="260325"/>
    <n v="5987"/>
    <n v="182"/>
    <n v="17143.650000000001"/>
    <n v="101895.93"/>
    <n v="2.2999999999999998"/>
    <n v="3.05"/>
    <n v="2.86"/>
    <n v="94.2"/>
    <n v="5.94"/>
    <n v="494.37"/>
  </r>
  <r>
    <s v="CMP0010"/>
    <s v="Organic explicit product"/>
    <x v="1"/>
    <s v="Retention"/>
    <s v="Canada"/>
    <d v="2024-10-26T00:00:00"/>
    <d v="2024-11-29T00:00:00"/>
    <n v="124905"/>
    <n v="1561"/>
    <n v="105"/>
    <n v="12981.89"/>
    <n v="41312.75"/>
    <n v="1.25"/>
    <n v="6.73"/>
    <n v="8.32"/>
    <n v="123.64"/>
    <n v="3.18"/>
    <n v="218.23"/>
  </r>
  <r>
    <s v="CMP0011"/>
    <s v="Implemented user-facing time-frame"/>
    <x v="3"/>
    <s v="Retention"/>
    <s v="UK"/>
    <d v="2024-02-26T00:00:00"/>
    <d v="2024-03-13T00:00:00"/>
    <n v="164987"/>
    <n v="16465"/>
    <n v="1544"/>
    <n v="2720.82"/>
    <n v="14695.2"/>
    <n v="9.98"/>
    <n v="9.3800000000000008"/>
    <n v="0.17"/>
    <n v="1.76"/>
    <n v="5.4"/>
    <n v="440.1"/>
  </r>
  <r>
    <s v="CMP0012"/>
    <s v="Persistent tangible conglomeration"/>
    <x v="2"/>
    <s v="Retention"/>
    <s v="Australia"/>
    <d v="2024-10-10T00:00:00"/>
    <d v="2024-10-17T00:00:00"/>
    <n v="83306"/>
    <n v="2207"/>
    <n v="109"/>
    <n v="10020.75"/>
    <n v="31378.61"/>
    <n v="2.65"/>
    <n v="4.9800000000000004"/>
    <n v="4.54"/>
    <n v="91.93"/>
    <n v="3.13"/>
    <n v="213.14"/>
  </r>
  <r>
    <s v="CMP0013"/>
    <s v="Team-oriented system-worthy concept"/>
    <x v="0"/>
    <s v="Conversion"/>
    <s v="UK"/>
    <d v="2024-05-14T00:00:00"/>
    <d v="2024-06-22T00:00:00"/>
    <n v="108485"/>
    <n v="3981"/>
    <n v="197"/>
    <n v="5064.91"/>
    <n v="26587.81"/>
    <n v="3.67"/>
    <n v="4.95"/>
    <n v="1.27"/>
    <n v="25.71"/>
    <n v="5.25"/>
    <n v="424.94"/>
  </r>
  <r>
    <s v="CMP0014"/>
    <s v="Synergistic fresh-thinking model"/>
    <x v="2"/>
    <s v="Awareness"/>
    <s v="UK"/>
    <d v="2024-10-03T00:00:00"/>
    <d v="2024-11-12T00:00:00"/>
    <n v="491277"/>
    <n v="16801"/>
    <n v="846"/>
    <n v="5292.59"/>
    <n v="28745.64"/>
    <n v="3.42"/>
    <n v="5.04"/>
    <n v="0.32"/>
    <n v="6.26"/>
    <n v="5.43"/>
    <n v="443.13"/>
  </r>
  <r>
    <s v="CMP0015"/>
    <s v="Fundamental methodical throughput"/>
    <x v="0"/>
    <s v="Conversion"/>
    <s v="Canada"/>
    <d v="2024-05-02T00:00:00"/>
    <d v="2024-05-12T00:00:00"/>
    <n v="60211"/>
    <n v="1776"/>
    <n v="109"/>
    <n v="24706.43"/>
    <n v="139109.22"/>
    <n v="2.95"/>
    <n v="6.18"/>
    <n v="13.91"/>
    <n v="226.66"/>
    <n v="5.63"/>
    <n v="463.05"/>
  </r>
  <r>
    <s v="CMP0016"/>
    <s v="Vision-oriented upward-trending budgetary management"/>
    <x v="2"/>
    <s v="Awareness"/>
    <s v="India"/>
    <d v="2024-03-06T00:00:00"/>
    <d v="2024-04-12T00:00:00"/>
    <n v="433730"/>
    <n v="12838"/>
    <n v="301"/>
    <n v="14409.03"/>
    <n v="78475.25"/>
    <n v="2.96"/>
    <n v="2.35"/>
    <n v="1.1200000000000001"/>
    <n v="47.87"/>
    <n v="5.45"/>
    <n v="444.63"/>
  </r>
  <r>
    <s v="CMP0017"/>
    <s v="Polarized stable artificial intelligence"/>
    <x v="3"/>
    <s v="Lead Generation"/>
    <s v="UK"/>
    <d v="2024-04-12T00:00:00"/>
    <d v="2024-05-08T00:00:00"/>
    <n v="326653"/>
    <n v="30150"/>
    <n v="3687"/>
    <n v="1453.09"/>
    <n v="6432.59"/>
    <n v="9.23"/>
    <n v="12.23"/>
    <n v="0.05"/>
    <n v="0.39"/>
    <n v="4.43"/>
    <n v="342.68"/>
  </r>
  <r>
    <s v="CMP0018"/>
    <s v="Fully-configurable 24hour model"/>
    <x v="1"/>
    <s v="Conversion"/>
    <s v="Canada"/>
    <d v="2024-10-10T00:00:00"/>
    <d v="2024-10-31T00:00:00"/>
    <n v="321358"/>
    <n v="5045"/>
    <n v="340"/>
    <n v="5024.41"/>
    <n v="10524.4"/>
    <n v="1.57"/>
    <n v="6.74"/>
    <n v="1"/>
    <n v="14.78"/>
    <n v="2.09"/>
    <n v="109.47"/>
  </r>
  <r>
    <s v="CMP0019"/>
    <s v="Implemented well-modulated info-mediaries"/>
    <x v="3"/>
    <s v="Lead Generation"/>
    <s v="India"/>
    <d v="2024-06-18T00:00:00"/>
    <d v="2024-06-29T00:00:00"/>
    <n v="87220"/>
    <n v="7195"/>
    <n v="618"/>
    <n v="803.3"/>
    <n v="1720.15"/>
    <n v="8.25"/>
    <n v="8.59"/>
    <n v="0.11"/>
    <n v="1.3"/>
    <n v="2.14"/>
    <n v="114.14"/>
  </r>
  <r>
    <s v="CMP0020"/>
    <s v="Sharable eco-centric portal"/>
    <x v="3"/>
    <s v="Lead Generation"/>
    <s v="UK"/>
    <d v="2024-10-22T00:00:00"/>
    <d v="2024-11-28T00:00:00"/>
    <n v="400737"/>
    <n v="27690"/>
    <n v="3707"/>
    <n v="3755.09"/>
    <n v="22420.61"/>
    <n v="6.91"/>
    <n v="13.39"/>
    <n v="0.14000000000000001"/>
    <n v="1.01"/>
    <n v="5.97"/>
    <n v="497.07"/>
  </r>
  <r>
    <s v="CMP0021"/>
    <s v="De-engineered disintermediate circuit"/>
    <x v="2"/>
    <s v="Retention"/>
    <s v="Canada"/>
    <d v="2024-01-28T00:00:00"/>
    <d v="2024-02-10T00:00:00"/>
    <n v="149829"/>
    <n v="2666"/>
    <n v="141"/>
    <n v="8314.4599999999991"/>
    <n v="32010.34"/>
    <n v="1.78"/>
    <n v="5.29"/>
    <n v="3.12"/>
    <n v="58.97"/>
    <n v="3.85"/>
    <n v="285"/>
  </r>
  <r>
    <s v="CMP0022"/>
    <s v="Stand-alone high-level standardization"/>
    <x v="0"/>
    <s v="Retention"/>
    <s v="UK"/>
    <d v="2024-08-04T00:00:00"/>
    <d v="2024-08-22T00:00:00"/>
    <n v="469741"/>
    <n v="27949"/>
    <n v="1534"/>
    <n v="8804.18"/>
    <n v="35381.89"/>
    <n v="5.95"/>
    <n v="5.49"/>
    <n v="0.32"/>
    <n v="5.74"/>
    <n v="4.0199999999999996"/>
    <n v="301.88"/>
  </r>
  <r>
    <s v="CMP0023"/>
    <s v="Decentralized uniform collaboration"/>
    <x v="4"/>
    <s v="Retention"/>
    <s v="USA"/>
    <d v="2024-10-03T00:00:00"/>
    <d v="2024-10-10T00:00:00"/>
    <n v="89523"/>
    <n v="2103"/>
    <n v="94"/>
    <n v="9379.07"/>
    <n v="20893.259999999998"/>
    <n v="2.35"/>
    <n v="4.51"/>
    <n v="4.46"/>
    <n v="99.78"/>
    <n v="2.23"/>
    <n v="122.76"/>
  </r>
  <r>
    <s v="CMP0024"/>
    <s v="Decentralized systemic task-force"/>
    <x v="0"/>
    <s v="Lead Generation"/>
    <s v="USA"/>
    <d v="2024-07-13T00:00:00"/>
    <d v="2024-07-20T00:00:00"/>
    <n v="263078"/>
    <n v="11680"/>
    <n v="616"/>
    <n v="13020.81"/>
    <n v="29477.279999999999"/>
    <n v="4.4400000000000004"/>
    <n v="5.28"/>
    <n v="1.1100000000000001"/>
    <n v="21.14"/>
    <n v="2.2599999999999998"/>
    <n v="126.39"/>
  </r>
  <r>
    <s v="CMP0025"/>
    <s v="Team-oriented discrete extranet"/>
    <x v="1"/>
    <s v="Conversion"/>
    <s v="Canada"/>
    <d v="2024-09-06T00:00:00"/>
    <d v="2024-09-22T00:00:00"/>
    <n v="199552"/>
    <n v="3033"/>
    <n v="354"/>
    <n v="19926.759999999998"/>
    <n v="89689.5"/>
    <n v="1.52"/>
    <n v="11.7"/>
    <n v="6.57"/>
    <n v="56.29"/>
    <n v="4.5"/>
    <n v="350.1"/>
  </r>
  <r>
    <s v="CMP0026"/>
    <s v="Implemented responsive info-mediaries"/>
    <x v="2"/>
    <s v="Conversion"/>
    <s v="USA"/>
    <d v="2024-10-26T00:00:00"/>
    <d v="2024-12-02T00:00:00"/>
    <n v="80662"/>
    <n v="2613"/>
    <n v="123"/>
    <n v="14219.63"/>
    <n v="32097.17"/>
    <n v="3.24"/>
    <n v="4.71"/>
    <n v="5.44"/>
    <n v="115.61"/>
    <n v="2.2599999999999998"/>
    <n v="125.72"/>
  </r>
  <r>
    <s v="CMP0027"/>
    <s v="Object-based 5thgeneration attitude"/>
    <x v="3"/>
    <s v="Lead Generation"/>
    <s v="India"/>
    <d v="2024-04-30T00:00:00"/>
    <d v="2024-06-01T00:00:00"/>
    <n v="316248"/>
    <n v="14167"/>
    <n v="1396"/>
    <n v="3177.66"/>
    <n v="16010.5"/>
    <n v="4.4800000000000004"/>
    <n v="9.86"/>
    <n v="0.22"/>
    <n v="2.2799999999999998"/>
    <n v="5.04"/>
    <n v="403.85"/>
  </r>
  <r>
    <s v="CMP0028"/>
    <s v="Fully-configurable actuating architecture"/>
    <x v="0"/>
    <s v="Lead Generation"/>
    <s v="Australia"/>
    <d v="2024-06-10T00:00:00"/>
    <d v="2024-07-03T00:00:00"/>
    <n v="361699"/>
    <n v="9621"/>
    <n v="431"/>
    <n v="18147.46"/>
    <n v="82453.37"/>
    <n v="2.66"/>
    <n v="4.49"/>
    <n v="1.89"/>
    <n v="42.11"/>
    <n v="4.54"/>
    <n v="354.35"/>
  </r>
  <r>
    <s v="CMP0029"/>
    <s v="Synchronized holistic matrices"/>
    <x v="2"/>
    <s v="Conversion"/>
    <s v="USA"/>
    <d v="2024-02-07T00:00:00"/>
    <d v="2024-02-14T00:00:00"/>
    <n v="189258"/>
    <n v="5091"/>
    <n v="272"/>
    <n v="7499.96"/>
    <n v="25670.84"/>
    <n v="2.69"/>
    <n v="5.36"/>
    <n v="1.47"/>
    <n v="27.57"/>
    <n v="3.42"/>
    <n v="242.28"/>
  </r>
  <r>
    <s v="CMP0030"/>
    <s v="Cross-platform solution-oriented throughput"/>
    <x v="1"/>
    <s v="Awareness"/>
    <s v="India"/>
    <d v="2024-05-05T00:00:00"/>
    <d v="2024-06-04T00:00:00"/>
    <n v="331875"/>
    <n v="3849"/>
    <n v="264"/>
    <n v="18932.150000000001"/>
    <n v="112909.24"/>
    <n v="1.1599999999999999"/>
    <n v="6.86"/>
    <n v="4.92"/>
    <n v="71.709999999999994"/>
    <n v="5.96"/>
    <n v="496.39"/>
  </r>
  <r>
    <s v="CMP0031"/>
    <s v="Implemented system-worthy website"/>
    <x v="4"/>
    <s v="Lead Generation"/>
    <s v="Canada"/>
    <d v="2024-09-27T00:00:00"/>
    <d v="2024-10-04T00:00:00"/>
    <n v="487122"/>
    <n v="12713"/>
    <n v="325"/>
    <n v="14798.17"/>
    <n v="83342.55"/>
    <n v="2.61"/>
    <n v="2.56"/>
    <n v="1.1599999999999999"/>
    <n v="45.53"/>
    <n v="5.63"/>
    <n v="463.19"/>
  </r>
  <r>
    <s v="CMP0032"/>
    <s v="Function-based object-oriented portal"/>
    <x v="3"/>
    <s v="Conversion"/>
    <s v="India"/>
    <d v="2024-05-24T00:00:00"/>
    <d v="2024-07-08T00:00:00"/>
    <n v="120407"/>
    <n v="6730"/>
    <n v="1137"/>
    <n v="3840.88"/>
    <n v="10368.52"/>
    <n v="5.59"/>
    <n v="16.899999999999999"/>
    <n v="0.56999999999999995"/>
    <n v="3.38"/>
    <n v="2.7"/>
    <n v="169.95"/>
  </r>
  <r>
    <s v="CMP0033"/>
    <s v="Cross-group user-facing Graphic Interface"/>
    <x v="2"/>
    <s v="Conversion"/>
    <s v="USA"/>
    <d v="2024-01-27T00:00:00"/>
    <d v="2024-02-08T00:00:00"/>
    <n v="410446"/>
    <n v="13955"/>
    <n v="463"/>
    <n v="10327.98"/>
    <n v="62732.3"/>
    <n v="3.4"/>
    <n v="3.32"/>
    <n v="0.74"/>
    <n v="22.31"/>
    <n v="6.07"/>
    <n v="507.4"/>
  </r>
  <r>
    <s v="CMP0034"/>
    <s v="Up-sized human-resource workforce"/>
    <x v="1"/>
    <s v="Conversion"/>
    <s v="India"/>
    <d v="2024-08-14T00:00:00"/>
    <d v="2024-09-25T00:00:00"/>
    <n v="51858"/>
    <n v="710"/>
    <n v="42"/>
    <n v="19676.77"/>
    <n v="53660.89"/>
    <n v="1.37"/>
    <n v="5.92"/>
    <n v="27.71"/>
    <n v="468.49"/>
    <n v="2.73"/>
    <n v="172.71"/>
  </r>
  <r>
    <s v="CMP0035"/>
    <s v="Profit-focused 5thgeneration pricing structure"/>
    <x v="1"/>
    <s v="Awareness"/>
    <s v="India"/>
    <d v="2024-07-08T00:00:00"/>
    <d v="2024-08-21T00:00:00"/>
    <n v="89449"/>
    <n v="2155"/>
    <n v="212"/>
    <n v="6384.87"/>
    <n v="13804.9"/>
    <n v="2.41"/>
    <n v="9.84"/>
    <n v="2.96"/>
    <n v="30.12"/>
    <n v="2.16"/>
    <n v="116.21"/>
  </r>
  <r>
    <s v="CMP0036"/>
    <s v="Enterprise-wide 24hour Graphic Interface"/>
    <x v="3"/>
    <s v="Lead Generation"/>
    <s v="Canada"/>
    <d v="2024-01-21T00:00:00"/>
    <d v="2024-02-19T00:00:00"/>
    <n v="116818"/>
    <n v="4964"/>
    <n v="578"/>
    <n v="4698.8999999999996"/>
    <n v="29954.94"/>
    <n v="4.25"/>
    <n v="11.65"/>
    <n v="0.95"/>
    <n v="8.1300000000000008"/>
    <n v="6.37"/>
    <n v="537.49"/>
  </r>
  <r>
    <s v="CMP0037"/>
    <s v="Reactive human-resource approach"/>
    <x v="2"/>
    <s v="Lead Generation"/>
    <s v="India"/>
    <d v="2024-03-20T00:00:00"/>
    <d v="2024-04-11T00:00:00"/>
    <n v="235429"/>
    <n v="9040"/>
    <n v="580"/>
    <n v="9095.66"/>
    <n v="43595.29"/>
    <n v="3.84"/>
    <n v="6.42"/>
    <n v="1.01"/>
    <n v="15.68"/>
    <n v="4.79"/>
    <n v="379.3"/>
  </r>
  <r>
    <s v="CMP0038"/>
    <s v="Business-focused bifurcated open system"/>
    <x v="2"/>
    <s v="Lead Generation"/>
    <s v="Canada"/>
    <d v="2024-05-07T00:00:00"/>
    <d v="2024-05-31T00:00:00"/>
    <n v="62995"/>
    <n v="1285"/>
    <n v="85"/>
    <n v="14735.8"/>
    <n v="56772.75"/>
    <n v="2.04"/>
    <n v="6.62"/>
    <n v="11.47"/>
    <n v="173.36"/>
    <n v="3.85"/>
    <n v="285.27"/>
  </r>
  <r>
    <s v="CMP0039"/>
    <s v="Mandatory disintermediate knowledge user"/>
    <x v="2"/>
    <s v="Awareness"/>
    <s v="Canada"/>
    <d v="2024-06-05T00:00:00"/>
    <d v="2024-06-26T00:00:00"/>
    <n v="70302"/>
    <n v="2868"/>
    <n v="89"/>
    <n v="15248.8"/>
    <n v="62083.42"/>
    <n v="4.08"/>
    <n v="3.11"/>
    <n v="5.32"/>
    <n v="171.33"/>
    <n v="4.07"/>
    <n v="307.14"/>
  </r>
  <r>
    <s v="CMP0040"/>
    <s v="Cloned solution-oriented hardware"/>
    <x v="2"/>
    <s v="Awareness"/>
    <s v="USA"/>
    <d v="2024-11-24T00:00:00"/>
    <d v="2025-01-02T00:00:00"/>
    <n v="258910"/>
    <n v="6420"/>
    <n v="405"/>
    <n v="17503.34"/>
    <n v="56991.97"/>
    <n v="2.48"/>
    <n v="6.32"/>
    <n v="2.73"/>
    <n v="43.22"/>
    <n v="3.26"/>
    <n v="225.61"/>
  </r>
  <r>
    <s v="CMP0041"/>
    <s v="Enhanced disintermediate leverage"/>
    <x v="1"/>
    <s v="Conversion"/>
    <s v="India"/>
    <d v="2024-01-20T00:00:00"/>
    <d v="2024-02-02T00:00:00"/>
    <n v="110472"/>
    <n v="2529"/>
    <n v="172"/>
    <n v="13289.44"/>
    <n v="85397.64"/>
    <n v="2.29"/>
    <n v="6.83"/>
    <n v="5.25"/>
    <n v="77.260000000000005"/>
    <n v="6.43"/>
    <n v="542.6"/>
  </r>
  <r>
    <s v="CMP0042"/>
    <s v="Public-key well-modulated model"/>
    <x v="3"/>
    <s v="Retention"/>
    <s v="UK"/>
    <d v="2024-10-22T00:00:00"/>
    <d v="2024-11-10T00:00:00"/>
    <n v="431967"/>
    <n v="37667"/>
    <n v="4655"/>
    <n v="4929.0600000000004"/>
    <n v="12423.23"/>
    <n v="8.7200000000000006"/>
    <n v="12.36"/>
    <n v="0.13"/>
    <n v="1.06"/>
    <n v="2.52"/>
    <n v="152.04"/>
  </r>
  <r>
    <s v="CMP0043"/>
    <s v="Diverse intangible focus group"/>
    <x v="4"/>
    <s v="Awareness"/>
    <s v="Canada"/>
    <d v="2024-04-10T00:00:00"/>
    <d v="2024-05-10T00:00:00"/>
    <n v="50886"/>
    <n v="1297"/>
    <n v="56"/>
    <n v="11085.71"/>
    <n v="69077.100000000006"/>
    <n v="2.5499999999999998"/>
    <n v="4.32"/>
    <n v="8.5500000000000007"/>
    <n v="197.96"/>
    <n v="6.23"/>
    <n v="523.12"/>
  </r>
  <r>
    <s v="CMP0044"/>
    <s v="Right-sized non-volatile implementation"/>
    <x v="1"/>
    <s v="Awareness"/>
    <s v="UK"/>
    <d v="2024-06-07T00:00:00"/>
    <d v="2024-07-10T00:00:00"/>
    <n v="376712"/>
    <n v="5010"/>
    <n v="548"/>
    <n v="15516.07"/>
    <n v="52001.34"/>
    <n v="1.33"/>
    <n v="10.94"/>
    <n v="3.1"/>
    <n v="28.31"/>
    <n v="3.35"/>
    <n v="235.15"/>
  </r>
  <r>
    <s v="CMP0045"/>
    <s v="Visionary systematic database"/>
    <x v="4"/>
    <s v="Retention"/>
    <s v="UK"/>
    <d v="2024-03-30T00:00:00"/>
    <d v="2024-05-12T00:00:00"/>
    <n v="340671"/>
    <n v="5212"/>
    <n v="154"/>
    <n v="14254.55"/>
    <n v="71955.98"/>
    <n v="1.53"/>
    <n v="2.97"/>
    <n v="2.73"/>
    <n v="92.56"/>
    <n v="5.05"/>
    <n v="404.79"/>
  </r>
  <r>
    <s v="CMP0046"/>
    <s v="Multi-tiered leadingedge service-desk"/>
    <x v="4"/>
    <s v="Retention"/>
    <s v="Australia"/>
    <d v="2024-06-13T00:00:00"/>
    <d v="2024-07-19T00:00:00"/>
    <n v="487112"/>
    <n v="5845"/>
    <n v="146"/>
    <n v="7873.6"/>
    <n v="36296.76"/>
    <n v="1.2"/>
    <n v="2.5"/>
    <n v="1.35"/>
    <n v="53.93"/>
    <n v="4.6100000000000003"/>
    <n v="360.99"/>
  </r>
  <r>
    <s v="CMP0047"/>
    <s v="Customer-focused eco-centric service-desk"/>
    <x v="1"/>
    <s v="Retention"/>
    <s v="USA"/>
    <d v="2024-02-13T00:00:00"/>
    <d v="2024-03-09T00:00:00"/>
    <n v="318002"/>
    <n v="5088"/>
    <n v="575"/>
    <n v="16736.400000000001"/>
    <n v="46252.9"/>
    <n v="1.6"/>
    <n v="11.31"/>
    <n v="3.29"/>
    <n v="29.11"/>
    <n v="2.76"/>
    <n v="176.36"/>
  </r>
  <r>
    <s v="CMP0048"/>
    <s v="Re-contextualized actuating workforce"/>
    <x v="3"/>
    <s v="Conversion"/>
    <s v="India"/>
    <d v="2024-03-16T00:00:00"/>
    <d v="2024-03-24T00:00:00"/>
    <n v="479089"/>
    <n v="46519"/>
    <n v="4814"/>
    <n v="1896.89"/>
    <n v="10678.6"/>
    <n v="9.7100000000000009"/>
    <n v="10.35"/>
    <n v="0.04"/>
    <n v="0.39"/>
    <n v="5.63"/>
    <n v="462.95"/>
  </r>
  <r>
    <s v="CMP0049"/>
    <s v="Visionary clear-thinking productivity"/>
    <x v="0"/>
    <s v="Lead Generation"/>
    <s v="Canada"/>
    <d v="2024-04-09T00:00:00"/>
    <d v="2024-05-10T00:00:00"/>
    <n v="370483"/>
    <n v="21858"/>
    <n v="970"/>
    <n v="13288.82"/>
    <n v="64237.41"/>
    <n v="5.9"/>
    <n v="4.4400000000000004"/>
    <n v="0.61"/>
    <n v="13.7"/>
    <n v="4.83"/>
    <n v="383.39"/>
  </r>
  <r>
    <s v="CMP0050"/>
    <s v="Customer-focused solution-oriented application"/>
    <x v="1"/>
    <s v="Retention"/>
    <s v="USA"/>
    <d v="2024-02-24T00:00:00"/>
    <d v="2024-03-29T00:00:00"/>
    <n v="127369"/>
    <n v="2445"/>
    <n v="123"/>
    <n v="16015.43"/>
    <n v="87527.65"/>
    <n v="1.92"/>
    <n v="5.04"/>
    <n v="6.55"/>
    <n v="130.21"/>
    <n v="5.47"/>
    <n v="446.52"/>
  </r>
  <r>
    <s v="CMP0051"/>
    <s v="Ergonomic foreground product"/>
    <x v="2"/>
    <s v="Lead Generation"/>
    <s v="Australia"/>
    <d v="2024-08-25T00:00:00"/>
    <d v="2024-10-04T00:00:00"/>
    <n v="293557"/>
    <n v="4843"/>
    <n v="157"/>
    <n v="15725.05"/>
    <n v="63750.58"/>
    <n v="1.65"/>
    <n v="3.25"/>
    <n v="3.25"/>
    <n v="100.16"/>
    <n v="4.05"/>
    <n v="305.41000000000003"/>
  </r>
  <r>
    <s v="CMP0052"/>
    <s v="Fundamental eco-centric model"/>
    <x v="3"/>
    <s v="Conversion"/>
    <s v="Canada"/>
    <d v="2024-08-16T00:00:00"/>
    <d v="2024-09-02T00:00:00"/>
    <n v="371206"/>
    <n v="33000"/>
    <n v="5583"/>
    <n v="2420.33"/>
    <n v="14717.65"/>
    <n v="8.89"/>
    <n v="16.920000000000002"/>
    <n v="7.0000000000000007E-2"/>
    <n v="0.43"/>
    <n v="6.08"/>
    <n v="508.08"/>
  </r>
  <r>
    <s v="CMP0053"/>
    <s v="Multi-layered contextually-based alliance"/>
    <x v="1"/>
    <s v="Retention"/>
    <s v="UK"/>
    <d v="2024-11-16T00:00:00"/>
    <d v="2024-12-08T00:00:00"/>
    <n v="444147"/>
    <n v="5418"/>
    <n v="512"/>
    <n v="16253.02"/>
    <n v="70633.17"/>
    <n v="1.22"/>
    <n v="9.4600000000000009"/>
    <n v="3"/>
    <n v="31.74"/>
    <n v="4.3499999999999996"/>
    <n v="334.58"/>
  </r>
  <r>
    <s v="CMP0054"/>
    <s v="Exclusive demand-driven data-warehouse"/>
    <x v="4"/>
    <s v="Retention"/>
    <s v="India"/>
    <d v="2024-03-11T00:00:00"/>
    <d v="2024-03-27T00:00:00"/>
    <n v="424103"/>
    <n v="8227"/>
    <n v="201"/>
    <n v="6496.37"/>
    <n v="28783.37"/>
    <n v="1.94"/>
    <n v="2.4500000000000002"/>
    <n v="0.79"/>
    <n v="32.32"/>
    <n v="4.43"/>
    <n v="343.07"/>
  </r>
  <r>
    <s v="CMP0055"/>
    <s v="Reactive global budgetary management"/>
    <x v="2"/>
    <s v="Retention"/>
    <s v="USA"/>
    <d v="2024-02-01T00:00:00"/>
    <d v="2024-02-21T00:00:00"/>
    <n v="420367"/>
    <n v="8995"/>
    <n v="366"/>
    <n v="7963.22"/>
    <n v="32622.6"/>
    <n v="2.14"/>
    <n v="4.07"/>
    <n v="0.89"/>
    <n v="21.76"/>
    <n v="4.0999999999999996"/>
    <n v="309.67"/>
  </r>
  <r>
    <s v="CMP0056"/>
    <s v="Optimized fresh-thinking policy"/>
    <x v="1"/>
    <s v="Retention"/>
    <s v="Australia"/>
    <d v="2024-06-29T00:00:00"/>
    <d v="2024-07-25T00:00:00"/>
    <n v="414654"/>
    <n v="3441"/>
    <n v="384"/>
    <n v="13211.05"/>
    <n v="54778.41"/>
    <n v="0.83"/>
    <n v="11.16"/>
    <n v="3.84"/>
    <n v="34.4"/>
    <n v="4.1500000000000004"/>
    <n v="314.64"/>
  </r>
  <r>
    <s v="CMP0057"/>
    <s v="Persevering stable toolset"/>
    <x v="1"/>
    <s v="Retention"/>
    <s v="Australia"/>
    <d v="2024-05-19T00:00:00"/>
    <d v="2024-06-22T00:00:00"/>
    <n v="441913"/>
    <n v="9059"/>
    <n v="960"/>
    <n v="18364.98"/>
    <n v="77078.42"/>
    <n v="2.0499999999999998"/>
    <n v="10.6"/>
    <n v="2.0299999999999998"/>
    <n v="19.13"/>
    <n v="4.2"/>
    <n v="319.7"/>
  </r>
  <r>
    <s v="CMP0058"/>
    <s v="Cross-platform logistical Graphical User Interface"/>
    <x v="1"/>
    <s v="Awareness"/>
    <s v="Canada"/>
    <d v="2024-03-06T00:00:00"/>
    <d v="2024-04-16T00:00:00"/>
    <n v="226228"/>
    <n v="4388"/>
    <n v="464"/>
    <n v="15586.9"/>
    <n v="90127.75"/>
    <n v="1.94"/>
    <n v="10.59"/>
    <n v="3.55"/>
    <n v="33.590000000000003"/>
    <n v="5.78"/>
    <n v="478.23"/>
  </r>
  <r>
    <s v="CMP0059"/>
    <s v="Configurable secondary definition"/>
    <x v="0"/>
    <s v="Retention"/>
    <s v="Australia"/>
    <d v="2024-04-03T00:00:00"/>
    <d v="2024-04-13T00:00:00"/>
    <n v="345903"/>
    <n v="17814"/>
    <n v="801"/>
    <n v="13572.26"/>
    <n v="80087.61"/>
    <n v="5.15"/>
    <n v="4.5"/>
    <n v="0.76"/>
    <n v="16.940000000000001"/>
    <n v="5.9"/>
    <n v="490.08"/>
  </r>
  <r>
    <s v="CMP0060"/>
    <s v="Innovative coherent support"/>
    <x v="4"/>
    <s v="Retention"/>
    <s v="UK"/>
    <d v="2024-08-03T00:00:00"/>
    <d v="2024-08-26T00:00:00"/>
    <n v="160970"/>
    <n v="3831"/>
    <n v="102"/>
    <n v="13495.5"/>
    <n v="43889.45"/>
    <n v="2.38"/>
    <n v="2.68"/>
    <n v="3.52"/>
    <n v="132.31"/>
    <n v="3.25"/>
    <n v="225.22"/>
  </r>
  <r>
    <s v="CMP0061"/>
    <s v="Profound bandwidth-monitored Graphic Interface"/>
    <x v="0"/>
    <s v="Retention"/>
    <s v="India"/>
    <d v="2024-01-21T00:00:00"/>
    <d v="2024-01-29T00:00:00"/>
    <n v="442704"/>
    <n v="20630"/>
    <n v="2063"/>
    <n v="11999.21"/>
    <n v="59103.89"/>
    <n v="4.66"/>
    <n v="10"/>
    <n v="0.57999999999999996"/>
    <n v="5.82"/>
    <n v="4.93"/>
    <n v="392.56"/>
  </r>
  <r>
    <s v="CMP0062"/>
    <s v="Realigned impactful structure"/>
    <x v="2"/>
    <s v="Lead Generation"/>
    <s v="India"/>
    <d v="2024-04-21T00:00:00"/>
    <d v="2024-05-27T00:00:00"/>
    <n v="375758"/>
    <n v="7364"/>
    <n v="193"/>
    <n v="13041.88"/>
    <n v="59182.27"/>
    <n v="1.96"/>
    <n v="2.63"/>
    <n v="1.77"/>
    <n v="67.569999999999993"/>
    <n v="4.54"/>
    <n v="353.79"/>
  </r>
  <r>
    <s v="CMP0063"/>
    <s v="Integrated mobile matrices"/>
    <x v="4"/>
    <s v="Conversion"/>
    <s v="USA"/>
    <d v="2024-06-08T00:00:00"/>
    <d v="2024-06-21T00:00:00"/>
    <n v="367662"/>
    <n v="10221"/>
    <n v="421"/>
    <n v="3931.66"/>
    <n v="22358.78"/>
    <n v="2.78"/>
    <n v="4.12"/>
    <n v="0.38"/>
    <n v="9.34"/>
    <n v="5.69"/>
    <n v="468.69"/>
  </r>
  <r>
    <s v="CMP0064"/>
    <s v="Cloned content-based moderator"/>
    <x v="3"/>
    <s v="Awareness"/>
    <s v="UK"/>
    <d v="2024-02-08T00:00:00"/>
    <d v="2024-03-23T00:00:00"/>
    <n v="351883"/>
    <n v="28361"/>
    <n v="4985"/>
    <n v="2284.94"/>
    <n v="11921.83"/>
    <n v="8.06"/>
    <n v="17.579999999999998"/>
    <n v="0.08"/>
    <n v="0.46"/>
    <n v="5.22"/>
    <n v="421.76"/>
  </r>
  <r>
    <s v="CMP0065"/>
    <s v="Switchable background frame"/>
    <x v="2"/>
    <s v="Awareness"/>
    <s v="UK"/>
    <d v="2024-01-22T00:00:00"/>
    <d v="2024-02-20T00:00:00"/>
    <n v="495798"/>
    <n v="17600"/>
    <n v="1061"/>
    <n v="14943.41"/>
    <n v="67943.149999999994"/>
    <n v="3.55"/>
    <n v="6.03"/>
    <n v="0.85"/>
    <n v="14.08"/>
    <n v="4.55"/>
    <n v="354.67"/>
  </r>
  <r>
    <s v="CMP0066"/>
    <s v="User-centric full-range solution"/>
    <x v="3"/>
    <s v="Retention"/>
    <s v="UK"/>
    <d v="2024-02-24T00:00:00"/>
    <d v="2024-03-29T00:00:00"/>
    <n v="86153"/>
    <n v="6065"/>
    <n v="692"/>
    <n v="4323.09"/>
    <n v="24643.73"/>
    <n v="7.04"/>
    <n v="11.41"/>
    <n v="0.71"/>
    <n v="6.25"/>
    <n v="5.7"/>
    <n v="470.05"/>
  </r>
  <r>
    <s v="CMP0067"/>
    <s v="Function-based incremental capacity"/>
    <x v="4"/>
    <s v="Retention"/>
    <s v="USA"/>
    <d v="2024-10-02T00:00:00"/>
    <d v="2024-11-08T00:00:00"/>
    <n v="278320"/>
    <n v="4620"/>
    <n v="153"/>
    <n v="10630.72"/>
    <n v="50725.599999999999"/>
    <n v="1.66"/>
    <n v="3.33"/>
    <n v="2.2999999999999998"/>
    <n v="69.48"/>
    <n v="4.7699999999999996"/>
    <n v="377.16"/>
  </r>
  <r>
    <s v="CMP0068"/>
    <s v="Team-oriented homogeneous database"/>
    <x v="1"/>
    <s v="Retention"/>
    <s v="Australia"/>
    <d v="2024-08-18T00:00:00"/>
    <d v="2024-09-09T00:00:00"/>
    <n v="190716"/>
    <n v="2574"/>
    <n v="172"/>
    <n v="18953.95"/>
    <n v="61698.46"/>
    <n v="1.35"/>
    <n v="6.72"/>
    <n v="7.36"/>
    <n v="110.2"/>
    <n v="3.26"/>
    <n v="225.52"/>
  </r>
  <r>
    <s v="CMP0069"/>
    <s v="Adaptive coherent Internet solution"/>
    <x v="1"/>
    <s v="Retention"/>
    <s v="UK"/>
    <d v="2024-05-12T00:00:00"/>
    <d v="2024-06-09T00:00:00"/>
    <n v="65047"/>
    <n v="1066"/>
    <n v="77"/>
    <n v="11800.8"/>
    <n v="42444.08"/>
    <n v="1.64"/>
    <n v="7.28"/>
    <n v="11.07"/>
    <n v="153.26"/>
    <n v="3.6"/>
    <n v="259.67"/>
  </r>
  <r>
    <s v="CMP0070"/>
    <s v="Visionary leadingedge initiative"/>
    <x v="4"/>
    <s v="Conversion"/>
    <s v="Australia"/>
    <d v="2024-10-11T00:00:00"/>
    <d v="2024-11-02T00:00:00"/>
    <n v="55322"/>
    <n v="1405"/>
    <n v="30"/>
    <n v="5516.95"/>
    <n v="21124"/>
    <n v="2.54"/>
    <n v="2.17"/>
    <n v="3.93"/>
    <n v="183.9"/>
    <n v="3.83"/>
    <n v="282.89"/>
  </r>
  <r>
    <s v="CMP0071"/>
    <s v="Enhanced full-range alliance"/>
    <x v="1"/>
    <s v="Retention"/>
    <s v="Canada"/>
    <d v="2024-10-24T00:00:00"/>
    <d v="2024-11-23T00:00:00"/>
    <n v="465725"/>
    <n v="3865"/>
    <n v="272"/>
    <n v="10470.42"/>
    <n v="32404.62"/>
    <n v="0.83"/>
    <n v="7.06"/>
    <n v="2.71"/>
    <n v="38.49"/>
    <n v="3.09"/>
    <n v="209.49"/>
  </r>
  <r>
    <s v="CMP0072"/>
    <s v="Advanced modular encryption"/>
    <x v="1"/>
    <s v="Conversion"/>
    <s v="Canada"/>
    <d v="2024-04-28T00:00:00"/>
    <d v="2024-05-12T00:00:00"/>
    <n v="441084"/>
    <n v="7674"/>
    <n v="572"/>
    <n v="11259.92"/>
    <n v="38056.32"/>
    <n v="1.74"/>
    <n v="7.46"/>
    <n v="1.47"/>
    <n v="19.690000000000001"/>
    <n v="3.38"/>
    <n v="237.98"/>
  </r>
  <r>
    <s v="CMP0073"/>
    <s v="Progressive contextually-based function"/>
    <x v="2"/>
    <s v="Conversion"/>
    <s v="India"/>
    <d v="2024-09-04T00:00:00"/>
    <d v="2024-09-28T00:00:00"/>
    <n v="439483"/>
    <n v="13667"/>
    <n v="794"/>
    <n v="5777.25"/>
    <n v="17179.990000000002"/>
    <n v="3.11"/>
    <n v="5.81"/>
    <n v="0.42"/>
    <n v="7.28"/>
    <n v="2.97"/>
    <n v="197.37"/>
  </r>
  <r>
    <s v="CMP0074"/>
    <s v="Sharable bottom-line leverage"/>
    <x v="3"/>
    <s v="Conversion"/>
    <s v="India"/>
    <d v="2024-09-30T00:00:00"/>
    <d v="2024-10-15T00:00:00"/>
    <n v="486537"/>
    <n v="25105"/>
    <n v="2578"/>
    <n v="1307.49"/>
    <n v="2698.22"/>
    <n v="5.16"/>
    <n v="10.27"/>
    <n v="0.05"/>
    <n v="0.51"/>
    <n v="2.06"/>
    <n v="106.37"/>
  </r>
  <r>
    <s v="CMP0075"/>
    <s v="Balanced homogeneous capability"/>
    <x v="4"/>
    <s v="Awareness"/>
    <s v="India"/>
    <d v="2024-02-22T00:00:00"/>
    <d v="2024-02-29T00:00:00"/>
    <n v="340119"/>
    <n v="6666"/>
    <n v="319"/>
    <n v="10473.370000000001"/>
    <n v="56425.96"/>
    <n v="1.96"/>
    <n v="4.8"/>
    <n v="1.57"/>
    <n v="32.83"/>
    <n v="5.39"/>
    <n v="438.76"/>
  </r>
  <r>
    <s v="CMP0076"/>
    <s v="Cross-group disintermediate ability"/>
    <x v="3"/>
    <s v="Conversion"/>
    <s v="Canada"/>
    <d v="2024-09-01T00:00:00"/>
    <d v="2024-09-15T00:00:00"/>
    <n v="300984"/>
    <n v="19985"/>
    <n v="1966"/>
    <n v="731.2"/>
    <n v="4558.88"/>
    <n v="6.64"/>
    <n v="9.84"/>
    <n v="0.04"/>
    <n v="0.37"/>
    <n v="6.23"/>
    <n v="523.48"/>
  </r>
  <r>
    <s v="CMP0077"/>
    <s v="Synergized empowering methodology"/>
    <x v="0"/>
    <s v="Retention"/>
    <s v="Canada"/>
    <d v="2024-06-04T00:00:00"/>
    <d v="2024-06-16T00:00:00"/>
    <n v="88840"/>
    <n v="4273"/>
    <n v="346"/>
    <n v="8034.54"/>
    <n v="45396.27"/>
    <n v="4.8099999999999996"/>
    <n v="8.1199999999999992"/>
    <n v="1.88"/>
    <n v="23.22"/>
    <n v="5.65"/>
    <n v="465.01"/>
  </r>
  <r>
    <s v="CMP0078"/>
    <s v="Synergized web-enabled core"/>
    <x v="2"/>
    <s v="Awareness"/>
    <s v="Australia"/>
    <d v="2024-07-13T00:00:00"/>
    <d v="2024-08-17T00:00:00"/>
    <n v="450788"/>
    <n v="12396"/>
    <n v="617"/>
    <n v="12276.28"/>
    <n v="67404.399999999994"/>
    <n v="2.75"/>
    <n v="4.9800000000000004"/>
    <n v="0.99"/>
    <n v="19.899999999999999"/>
    <n v="5.49"/>
    <n v="449.06"/>
  </r>
  <r>
    <s v="CMP0079"/>
    <s v="Switchable zero tolerance product"/>
    <x v="1"/>
    <s v="Conversion"/>
    <s v="Australia"/>
    <d v="2024-04-16T00:00:00"/>
    <d v="2024-05-06T00:00:00"/>
    <n v="274830"/>
    <n v="3627"/>
    <n v="339"/>
    <n v="13754.09"/>
    <n v="73314.83"/>
    <n v="1.32"/>
    <n v="9.35"/>
    <n v="3.79"/>
    <n v="40.57"/>
    <n v="5.33"/>
    <n v="433.04"/>
  </r>
  <r>
    <s v="CMP0080"/>
    <s v="Decentralized static ability"/>
    <x v="4"/>
    <s v="Awareness"/>
    <s v="USA"/>
    <d v="2024-10-31T00:00:00"/>
    <d v="2024-12-07T00:00:00"/>
    <n v="175758"/>
    <n v="2900"/>
    <n v="51"/>
    <n v="2533.4499999999998"/>
    <n v="10202.879999999999"/>
    <n v="1.65"/>
    <n v="1.76"/>
    <n v="0.87"/>
    <n v="49.68"/>
    <n v="4.03"/>
    <n v="302.73"/>
  </r>
  <r>
    <s v="CMP0081"/>
    <s v="Realigned human-resource service-desk"/>
    <x v="4"/>
    <s v="Awareness"/>
    <s v="USA"/>
    <d v="2024-05-15T00:00:00"/>
    <d v="2024-06-28T00:00:00"/>
    <n v="201049"/>
    <n v="6111"/>
    <n v="241"/>
    <n v="8175.39"/>
    <n v="41639.160000000003"/>
    <n v="3.04"/>
    <n v="3.96"/>
    <n v="1.34"/>
    <n v="33.92"/>
    <n v="5.09"/>
    <n v="409.32"/>
  </r>
  <r>
    <s v="CMP0082"/>
    <s v="Streamlined secondary throughput"/>
    <x v="2"/>
    <s v="Retention"/>
    <s v="India"/>
    <d v="2024-01-31T00:00:00"/>
    <d v="2024-02-17T00:00:00"/>
    <n v="335507"/>
    <n v="7280"/>
    <n v="199"/>
    <n v="6984.49"/>
    <n v="18439.5"/>
    <n v="2.17"/>
    <n v="2.74"/>
    <n v="0.96"/>
    <n v="35.1"/>
    <n v="2.64"/>
    <n v="164.01"/>
  </r>
  <r>
    <s v="CMP0083"/>
    <s v="User-centric national leverage"/>
    <x v="4"/>
    <s v="Conversion"/>
    <s v="Canada"/>
    <d v="2024-10-03T00:00:00"/>
    <d v="2024-11-10T00:00:00"/>
    <n v="115197"/>
    <n v="2787"/>
    <n v="71"/>
    <n v="7531.36"/>
    <n v="24289.45"/>
    <n v="2.42"/>
    <n v="2.56"/>
    <n v="2.7"/>
    <n v="106.08"/>
    <n v="3.23"/>
    <n v="222.51"/>
  </r>
  <r>
    <s v="CMP0084"/>
    <s v="Expanded 5thgeneration data-warehouse"/>
    <x v="1"/>
    <s v="Awareness"/>
    <s v="Australia"/>
    <d v="2024-04-27T00:00:00"/>
    <d v="2024-06-09T00:00:00"/>
    <n v="70898"/>
    <n v="1637"/>
    <n v="165"/>
    <n v="13659.42"/>
    <n v="28908.69"/>
    <n v="2.31"/>
    <n v="10.14"/>
    <n v="8.34"/>
    <n v="82.78"/>
    <n v="2.12"/>
    <n v="111.64"/>
  </r>
  <r>
    <s v="CMP0085"/>
    <s v="Innovative multimedia circuit"/>
    <x v="3"/>
    <s v="Awareness"/>
    <s v="UK"/>
    <d v="2024-05-22T00:00:00"/>
    <d v="2024-06-09T00:00:00"/>
    <n v="352119"/>
    <n v="14929"/>
    <n v="2322"/>
    <n v="2617.25"/>
    <n v="12907.73"/>
    <n v="4.24"/>
    <n v="15.56"/>
    <n v="0.18"/>
    <n v="1.1299999999999999"/>
    <n v="4.93"/>
    <n v="393.18"/>
  </r>
  <r>
    <s v="CMP0086"/>
    <s v="Advanced static challenge"/>
    <x v="3"/>
    <s v="Retention"/>
    <s v="Canada"/>
    <d v="2024-03-23T00:00:00"/>
    <d v="2024-04-20T00:00:00"/>
    <n v="97837"/>
    <n v="6672"/>
    <n v="805"/>
    <n v="1944.76"/>
    <n v="4804.92"/>
    <n v="6.82"/>
    <n v="12.08"/>
    <n v="0.28999999999999998"/>
    <n v="2.42"/>
    <n v="2.4700000000000002"/>
    <n v="147.07"/>
  </r>
  <r>
    <s v="CMP0087"/>
    <s v="Quality-focused background methodology"/>
    <x v="1"/>
    <s v="Retention"/>
    <s v="UK"/>
    <d v="2024-06-10T00:00:00"/>
    <d v="2024-07-03T00:00:00"/>
    <n v="397384"/>
    <n v="9576"/>
    <n v="1023"/>
    <n v="12801.55"/>
    <n v="51804.24"/>
    <n v="2.41"/>
    <n v="10.69"/>
    <n v="1.34"/>
    <n v="12.51"/>
    <n v="4.05"/>
    <n v="304.67"/>
  </r>
  <r>
    <s v="CMP0088"/>
    <s v="Upgradable discrete website"/>
    <x v="4"/>
    <s v="Awareness"/>
    <s v="Canada"/>
    <d v="2024-01-28T00:00:00"/>
    <d v="2024-02-16T00:00:00"/>
    <n v="319796"/>
    <n v="10681"/>
    <n v="160"/>
    <n v="13367.09"/>
    <n v="54522.94"/>
    <n v="3.34"/>
    <n v="1.5"/>
    <n v="1.25"/>
    <n v="83.54"/>
    <n v="4.08"/>
    <n v="307.89"/>
  </r>
  <r>
    <s v="CMP0089"/>
    <s v="Down-sized coherent frame"/>
    <x v="3"/>
    <s v="Conversion"/>
    <s v="Australia"/>
    <d v="2024-03-08T00:00:00"/>
    <d v="2024-04-02T00:00:00"/>
    <n v="446594"/>
    <n v="31216"/>
    <n v="3877"/>
    <n v="732.25"/>
    <n v="2344.48"/>
    <n v="6.99"/>
    <n v="12.42"/>
    <n v="0.02"/>
    <n v="0.19"/>
    <n v="3.2"/>
    <n v="220.17"/>
  </r>
  <r>
    <s v="CMP0090"/>
    <s v="Monitored local solution"/>
    <x v="1"/>
    <s v="Retention"/>
    <s v="India"/>
    <d v="2024-10-09T00:00:00"/>
    <d v="2024-10-16T00:00:00"/>
    <n v="65135"/>
    <n v="1595"/>
    <n v="147"/>
    <n v="7828.76"/>
    <n v="21237.09"/>
    <n v="2.4500000000000002"/>
    <n v="9.26"/>
    <n v="4.91"/>
    <n v="53.26"/>
    <n v="2.71"/>
    <n v="171.27"/>
  </r>
  <r>
    <s v="CMP0091"/>
    <s v="Decentralized optimizing alliance"/>
    <x v="3"/>
    <s v="Retention"/>
    <s v="India"/>
    <d v="2024-03-19T00:00:00"/>
    <d v="2024-04-26T00:00:00"/>
    <n v="167807"/>
    <n v="16696"/>
    <n v="2860"/>
    <n v="2576.52"/>
    <n v="6514.98"/>
    <n v="9.9499999999999993"/>
    <n v="17.13"/>
    <n v="0.15"/>
    <n v="0.9"/>
    <n v="2.5299999999999998"/>
    <n v="152.86000000000001"/>
  </r>
  <r>
    <s v="CMP0092"/>
    <s v="Customer-focused encompassing budgetary management"/>
    <x v="4"/>
    <s v="Conversion"/>
    <s v="Canada"/>
    <d v="2024-04-07T00:00:00"/>
    <d v="2024-05-22T00:00:00"/>
    <n v="487635"/>
    <n v="11947"/>
    <n v="376"/>
    <n v="8209.83"/>
    <n v="21763.35"/>
    <n v="2.4500000000000002"/>
    <n v="3.15"/>
    <n v="0.69"/>
    <n v="21.83"/>
    <n v="2.65"/>
    <n v="165.09"/>
  </r>
  <r>
    <s v="CMP0093"/>
    <s v="Reactive logistical strategy"/>
    <x v="3"/>
    <s v="Lead Generation"/>
    <s v="India"/>
    <d v="2024-05-16T00:00:00"/>
    <d v="2024-05-23T00:00:00"/>
    <n v="194833"/>
    <n v="16833"/>
    <n v="2784"/>
    <n v="2029.44"/>
    <n v="11252.69"/>
    <n v="8.64"/>
    <n v="16.54"/>
    <n v="0.12"/>
    <n v="0.73"/>
    <n v="5.54"/>
    <n v="454.47"/>
  </r>
  <r>
    <s v="CMP0094"/>
    <s v="Open-source content-based database"/>
    <x v="4"/>
    <s v="Conversion"/>
    <s v="Australia"/>
    <d v="2024-06-25T00:00:00"/>
    <d v="2024-07-23T00:00:00"/>
    <n v="354046"/>
    <n v="13453"/>
    <n v="431"/>
    <n v="4357.4399999999996"/>
    <n v="19275.63"/>
    <n v="3.8"/>
    <n v="3.21"/>
    <n v="0.32"/>
    <n v="10.11"/>
    <n v="4.42"/>
    <n v="342.36"/>
  </r>
  <r>
    <s v="CMP0095"/>
    <s v="Object-based context-sensitive structure"/>
    <x v="3"/>
    <s v="Retention"/>
    <s v="Canada"/>
    <d v="2024-07-29T00:00:00"/>
    <d v="2024-08-07T00:00:00"/>
    <n v="218704"/>
    <n v="20164"/>
    <n v="3591"/>
    <n v="1574.62"/>
    <n v="5862.89"/>
    <n v="9.2200000000000006"/>
    <n v="17.809999999999999"/>
    <n v="0.08"/>
    <n v="0.44"/>
    <n v="3.72"/>
    <n v="272.33999999999997"/>
  </r>
  <r>
    <s v="CMP0096"/>
    <s v="Networked bandwidth-monitored attitude"/>
    <x v="4"/>
    <s v="Retention"/>
    <s v="Canada"/>
    <d v="2024-01-19T00:00:00"/>
    <d v="2024-02-03T00:00:00"/>
    <n v="252416"/>
    <n v="9516"/>
    <n v="406"/>
    <n v="10650.24"/>
    <n v="28590.29"/>
    <n v="3.77"/>
    <n v="4.2699999999999996"/>
    <n v="1.1200000000000001"/>
    <n v="26.23"/>
    <n v="2.68"/>
    <n v="168.45"/>
  </r>
  <r>
    <s v="CMP0097"/>
    <s v="Synergized needs-based migration"/>
    <x v="3"/>
    <s v="Conversion"/>
    <s v="India"/>
    <d v="2024-07-28T00:00:00"/>
    <d v="2024-08-13T00:00:00"/>
    <n v="493044"/>
    <n v="32738"/>
    <n v="4341"/>
    <n v="2556.1799999999998"/>
    <n v="13422.49"/>
    <n v="6.64"/>
    <n v="13.26"/>
    <n v="0.08"/>
    <n v="0.59"/>
    <n v="5.25"/>
    <n v="425.1"/>
  </r>
  <r>
    <s v="CMP0098"/>
    <s v="Seamless needs-based pricing structure"/>
    <x v="0"/>
    <s v="Retention"/>
    <s v="UK"/>
    <d v="2024-09-30T00:00:00"/>
    <d v="2024-10-31T00:00:00"/>
    <n v="227503"/>
    <n v="11352"/>
    <n v="724"/>
    <n v="6606.31"/>
    <n v="22980.35"/>
    <n v="4.99"/>
    <n v="6.38"/>
    <n v="0.57999999999999996"/>
    <n v="9.1199999999999992"/>
    <n v="3.48"/>
    <n v="247.85"/>
  </r>
  <r>
    <s v="CMP0099"/>
    <s v="Total intangible portal"/>
    <x v="4"/>
    <s v="Retention"/>
    <s v="Australia"/>
    <d v="2024-04-26T00:00:00"/>
    <d v="2024-05-08T00:00:00"/>
    <n v="68821"/>
    <n v="1933"/>
    <n v="44"/>
    <n v="11054.99"/>
    <n v="36406.35"/>
    <n v="2.81"/>
    <n v="2.3199999999999998"/>
    <n v="5.72"/>
    <n v="251.25"/>
    <n v="3.29"/>
    <n v="229.32"/>
  </r>
  <r>
    <s v="CMP0100"/>
    <s v="Configurable reciprocal strategy"/>
    <x v="1"/>
    <s v="Awareness"/>
    <s v="India"/>
    <d v="2024-01-29T00:00:00"/>
    <d v="2024-02-23T00:00:00"/>
    <n v="282615"/>
    <n v="3052"/>
    <n v="216"/>
    <n v="4463.16"/>
    <n v="15441.13"/>
    <n v="1.08"/>
    <n v="7.1"/>
    <n v="1.46"/>
    <n v="20.66"/>
    <n v="3.46"/>
    <n v="245.97"/>
  </r>
  <r>
    <s v="CMP0101"/>
    <s v="Synergized fault-tolerant time-frame"/>
    <x v="4"/>
    <s v="Conversion"/>
    <s v="Canada"/>
    <d v="2024-03-30T00:00:00"/>
    <d v="2024-04-11T00:00:00"/>
    <n v="126320"/>
    <n v="2311"/>
    <n v="67"/>
    <n v="11022.5"/>
    <n v="30976.05"/>
    <n v="1.83"/>
    <n v="2.94"/>
    <n v="4.7699999999999996"/>
    <n v="164.51"/>
    <n v="2.81"/>
    <n v="181.03"/>
  </r>
  <r>
    <s v="CMP0102"/>
    <s v="Synchronized scalable productivity"/>
    <x v="3"/>
    <s v="Retention"/>
    <s v="Australia"/>
    <d v="2024-05-10T00:00:00"/>
    <d v="2024-06-15T00:00:00"/>
    <n v="408159"/>
    <n v="22203"/>
    <n v="3803"/>
    <n v="1144.03"/>
    <n v="4662.12"/>
    <n v="5.44"/>
    <n v="17.13"/>
    <n v="0.05"/>
    <n v="0.3"/>
    <n v="4.08"/>
    <n v="307.52"/>
  </r>
  <r>
    <s v="CMP0103"/>
    <s v="Synergized asynchronous productivity"/>
    <x v="4"/>
    <s v="Awareness"/>
    <s v="Canada"/>
    <d v="2024-10-27T00:00:00"/>
    <d v="2024-11-22T00:00:00"/>
    <n v="200801"/>
    <n v="5943"/>
    <n v="121"/>
    <n v="8021.62"/>
    <n v="28517.22"/>
    <n v="2.96"/>
    <n v="2.0499999999999998"/>
    <n v="1.35"/>
    <n v="66.290000000000006"/>
    <n v="3.56"/>
    <n v="255.5"/>
  </r>
  <r>
    <s v="CMP0104"/>
    <s v="Ergonomic methodical leverage"/>
    <x v="1"/>
    <s v="Conversion"/>
    <s v="Canada"/>
    <d v="2024-07-14T00:00:00"/>
    <d v="2024-08-26T00:00:00"/>
    <n v="493182"/>
    <n v="6460"/>
    <n v="775"/>
    <n v="17653.37"/>
    <n v="43779.29"/>
    <n v="1.31"/>
    <n v="12"/>
    <n v="2.73"/>
    <n v="22.78"/>
    <n v="2.48"/>
    <n v="147.99"/>
  </r>
  <r>
    <s v="CMP0105"/>
    <s v="Future-proofed zero-defect workforce"/>
    <x v="4"/>
    <s v="Conversion"/>
    <s v="UK"/>
    <d v="2024-01-26T00:00:00"/>
    <d v="2024-03-11T00:00:00"/>
    <n v="61502"/>
    <n v="2300"/>
    <n v="87"/>
    <n v="5931"/>
    <n v="26966.36"/>
    <n v="3.74"/>
    <n v="3.8"/>
    <n v="2.58"/>
    <n v="68.17"/>
    <n v="4.55"/>
    <n v="354.67"/>
  </r>
  <r>
    <s v="CMP0106"/>
    <s v="Cross-platform contextually-based knowledge user"/>
    <x v="1"/>
    <s v="Conversion"/>
    <s v="USA"/>
    <d v="2024-03-11T00:00:00"/>
    <d v="2024-03-24T00:00:00"/>
    <n v="368276"/>
    <n v="7954"/>
    <n v="519"/>
    <n v="7042.11"/>
    <n v="22026.46"/>
    <n v="2.16"/>
    <n v="6.53"/>
    <n v="0.89"/>
    <n v="13.57"/>
    <n v="3.13"/>
    <n v="212.78"/>
  </r>
  <r>
    <s v="CMP0107"/>
    <s v="Fundamental responsive hub"/>
    <x v="0"/>
    <s v="Conversion"/>
    <s v="Canada"/>
    <d v="2024-07-31T00:00:00"/>
    <d v="2024-08-18T00:00:00"/>
    <n v="67492"/>
    <n v="3253"/>
    <n v="272"/>
    <n v="6802.67"/>
    <n v="22639.27"/>
    <n v="4.82"/>
    <n v="8.39"/>
    <n v="2.09"/>
    <n v="25.01"/>
    <n v="3.33"/>
    <n v="232.8"/>
  </r>
  <r>
    <s v="CMP0108"/>
    <s v="Persevering user-facing superstructure"/>
    <x v="2"/>
    <s v="Lead Generation"/>
    <s v="Australia"/>
    <d v="2024-09-03T00:00:00"/>
    <d v="2024-09-28T00:00:00"/>
    <n v="241814"/>
    <n v="7472"/>
    <n v="490"/>
    <n v="15457.09"/>
    <n v="48788.22"/>
    <n v="3.09"/>
    <n v="6.57"/>
    <n v="2.0699999999999998"/>
    <n v="31.55"/>
    <n v="3.16"/>
    <n v="215.64"/>
  </r>
  <r>
    <s v="CMP0109"/>
    <s v="Re-engineered asymmetric methodology"/>
    <x v="4"/>
    <s v="Awareness"/>
    <s v="Canada"/>
    <d v="2024-07-22T00:00:00"/>
    <d v="2024-09-02T00:00:00"/>
    <n v="89478"/>
    <n v="1404"/>
    <n v="68"/>
    <n v="13251.76"/>
    <n v="69690.679999999993"/>
    <n v="1.57"/>
    <n v="4.88"/>
    <n v="9.44"/>
    <n v="194.88"/>
    <n v="5.26"/>
    <n v="425.9"/>
  </r>
  <r>
    <s v="CMP0110"/>
    <s v="Optimized reciprocal leverage"/>
    <x v="4"/>
    <s v="Awareness"/>
    <s v="Canada"/>
    <d v="2024-05-14T00:00:00"/>
    <d v="2024-06-27T00:00:00"/>
    <n v="57297"/>
    <n v="1082"/>
    <n v="20"/>
    <n v="7107.32"/>
    <n v="38170.230000000003"/>
    <n v="1.89"/>
    <n v="1.93"/>
    <n v="6.57"/>
    <n v="355.37"/>
    <n v="5.37"/>
    <n v="437.06"/>
  </r>
  <r>
    <s v="CMP0111"/>
    <s v="Stand-alone executive productivity"/>
    <x v="1"/>
    <s v="Conversion"/>
    <s v="India"/>
    <d v="2024-11-08T00:00:00"/>
    <d v="2024-11-29T00:00:00"/>
    <n v="403808"/>
    <n v="4845"/>
    <n v="250"/>
    <n v="18147.759999999998"/>
    <n v="82142.81"/>
    <n v="1.2"/>
    <n v="5.18"/>
    <n v="3.75"/>
    <n v="72.59"/>
    <n v="4.53"/>
    <n v="352.63"/>
  </r>
  <r>
    <s v="CMP0112"/>
    <s v="Ergonomic next generation structure"/>
    <x v="0"/>
    <s v="Retention"/>
    <s v="UK"/>
    <d v="2024-09-09T00:00:00"/>
    <d v="2024-09-23T00:00:00"/>
    <n v="390388"/>
    <n v="16123"/>
    <n v="780"/>
    <n v="23925.23"/>
    <n v="80619.429999999993"/>
    <n v="4.13"/>
    <n v="4.84"/>
    <n v="1.48"/>
    <n v="30.67"/>
    <n v="3.37"/>
    <n v="236.96"/>
  </r>
  <r>
    <s v="CMP0113"/>
    <s v="Reduced impactful access"/>
    <x v="0"/>
    <s v="Lead Generation"/>
    <s v="Australia"/>
    <d v="2024-10-03T00:00:00"/>
    <d v="2024-11-05T00:00:00"/>
    <n v="121127"/>
    <n v="4905"/>
    <n v="305"/>
    <n v="23987.62"/>
    <n v="123156.71"/>
    <n v="4.05"/>
    <n v="6.23"/>
    <n v="4.8899999999999997"/>
    <n v="78.650000000000006"/>
    <n v="5.13"/>
    <n v="413.42"/>
  </r>
  <r>
    <s v="CMP0114"/>
    <s v="Pre-emptive analyzing array"/>
    <x v="3"/>
    <s v="Lead Generation"/>
    <s v="Canada"/>
    <d v="2024-01-17T00:00:00"/>
    <d v="2024-02-16T00:00:00"/>
    <n v="393367"/>
    <n v="18055"/>
    <n v="2327"/>
    <n v="2336.52"/>
    <n v="14677.66"/>
    <n v="4.59"/>
    <n v="12.89"/>
    <n v="0.13"/>
    <n v="1"/>
    <n v="6.28"/>
    <n v="528.17999999999995"/>
  </r>
  <r>
    <s v="CMP0115"/>
    <s v="Customer-focused bifurcated circuit"/>
    <x v="2"/>
    <s v="Retention"/>
    <s v="Canada"/>
    <d v="2024-11-26T00:00:00"/>
    <d v="2024-12-25T00:00:00"/>
    <n v="173791"/>
    <n v="7073"/>
    <n v="176"/>
    <n v="13285.2"/>
    <n v="59120.42"/>
    <n v="4.07"/>
    <n v="2.5"/>
    <n v="1.88"/>
    <n v="75.48"/>
    <n v="4.45"/>
    <n v="345.01"/>
  </r>
  <r>
    <s v="CMP0116"/>
    <s v="Operative impactful portal"/>
    <x v="0"/>
    <s v="Retention"/>
    <s v="UK"/>
    <d v="2024-04-18T00:00:00"/>
    <d v="2024-06-02T00:00:00"/>
    <n v="149514"/>
    <n v="9524"/>
    <n v="922"/>
    <n v="21483.82"/>
    <n v="51830.37"/>
    <n v="6.37"/>
    <n v="9.69"/>
    <n v="2.2599999999999998"/>
    <n v="23.3"/>
    <n v="2.41"/>
    <n v="141.25"/>
  </r>
  <r>
    <s v="CMP0117"/>
    <s v="Assimilated 5thgeneration archive"/>
    <x v="0"/>
    <s v="Awareness"/>
    <s v="UK"/>
    <d v="2024-10-10T00:00:00"/>
    <d v="2024-10-30T00:00:00"/>
    <n v="177700"/>
    <n v="11479"/>
    <n v="1000"/>
    <n v="9104.11"/>
    <n v="52204.61"/>
    <n v="6.46"/>
    <n v="8.7200000000000006"/>
    <n v="0.79"/>
    <n v="9.1"/>
    <n v="5.73"/>
    <n v="473.42"/>
  </r>
  <r>
    <s v="CMP0118"/>
    <s v="Optimized foreground hub"/>
    <x v="3"/>
    <s v="Lead Generation"/>
    <s v="USA"/>
    <d v="2024-03-15T00:00:00"/>
    <d v="2024-03-30T00:00:00"/>
    <n v="222259"/>
    <n v="19225"/>
    <n v="3054"/>
    <n v="3181.92"/>
    <n v="10334.040000000001"/>
    <n v="8.65"/>
    <n v="15.89"/>
    <n v="0.17"/>
    <n v="1.04"/>
    <n v="3.25"/>
    <n v="224.77"/>
  </r>
  <r>
    <s v="CMP0119"/>
    <s v="Multi-channeled non-volatile analyzer"/>
    <x v="3"/>
    <s v="Conversion"/>
    <s v="USA"/>
    <d v="2024-05-01T00:00:00"/>
    <d v="2024-06-14T00:00:00"/>
    <n v="107633"/>
    <n v="8578"/>
    <n v="708"/>
    <n v="566.87"/>
    <n v="3148.92"/>
    <n v="7.97"/>
    <n v="8.26"/>
    <n v="7.0000000000000007E-2"/>
    <n v="0.8"/>
    <n v="5.55"/>
    <n v="455.49"/>
  </r>
  <r>
    <s v="CMP0120"/>
    <s v="Synchronized discrete adapter"/>
    <x v="4"/>
    <s v="Awareness"/>
    <s v="USA"/>
    <d v="2024-08-31T00:00:00"/>
    <d v="2024-10-05T00:00:00"/>
    <n v="189129"/>
    <n v="2534"/>
    <n v="103"/>
    <n v="9076.07"/>
    <n v="48606.84"/>
    <n v="1.34"/>
    <n v="4.0999999999999996"/>
    <n v="3.58"/>
    <n v="88.12"/>
    <n v="5.36"/>
    <n v="435.55"/>
  </r>
  <r>
    <s v="CMP0121"/>
    <s v="Polarized multimedia customer loyalty"/>
    <x v="4"/>
    <s v="Awareness"/>
    <s v="Canada"/>
    <d v="2024-09-23T00:00:00"/>
    <d v="2024-10-19T00:00:00"/>
    <n v="314156"/>
    <n v="5591"/>
    <n v="204"/>
    <n v="11590.54"/>
    <n v="70579.23"/>
    <n v="1.78"/>
    <n v="3.65"/>
    <n v="2.0699999999999998"/>
    <n v="56.82"/>
    <n v="6.09"/>
    <n v="508.94"/>
  </r>
  <r>
    <s v="CMP0122"/>
    <s v="Monitored composite collaboration"/>
    <x v="1"/>
    <s v="Awareness"/>
    <s v="India"/>
    <d v="2024-08-15T00:00:00"/>
    <d v="2024-08-26T00:00:00"/>
    <n v="301124"/>
    <n v="6745"/>
    <n v="538"/>
    <n v="5727.39"/>
    <n v="29815.68"/>
    <n v="2.2400000000000002"/>
    <n v="7.98"/>
    <n v="0.85"/>
    <n v="10.65"/>
    <n v="5.21"/>
    <n v="420.58"/>
  </r>
  <r>
    <s v="CMP0123"/>
    <s v="Ameliorated real-time database"/>
    <x v="0"/>
    <s v="Conversion"/>
    <s v="Australia"/>
    <d v="2024-06-15T00:00:00"/>
    <d v="2024-07-16T00:00:00"/>
    <n v="127769"/>
    <n v="3526"/>
    <n v="199"/>
    <n v="17661.53"/>
    <n v="78904.72"/>
    <n v="2.76"/>
    <n v="5.65"/>
    <n v="5.01"/>
    <n v="88.75"/>
    <n v="4.47"/>
    <n v="346.76"/>
  </r>
  <r>
    <s v="CMP0124"/>
    <s v="User-centric explicit framework"/>
    <x v="3"/>
    <s v="Conversion"/>
    <s v="Canada"/>
    <d v="2024-10-09T00:00:00"/>
    <d v="2024-10-29T00:00:00"/>
    <n v="315054"/>
    <n v="24038"/>
    <n v="2161"/>
    <n v="3658.01"/>
    <n v="21353.88"/>
    <n v="7.63"/>
    <n v="8.99"/>
    <n v="0.15"/>
    <n v="1.69"/>
    <n v="5.84"/>
    <n v="483.76"/>
  </r>
  <r>
    <s v="CMP0125"/>
    <s v="Operative neutral customer loyalty"/>
    <x v="1"/>
    <s v="Retention"/>
    <s v="USA"/>
    <d v="2024-08-06T00:00:00"/>
    <d v="2024-09-02T00:00:00"/>
    <n v="266957"/>
    <n v="3684"/>
    <n v="300"/>
    <n v="10655.83"/>
    <n v="25871.14"/>
    <n v="1.38"/>
    <n v="8.17"/>
    <n v="2.89"/>
    <n v="35.520000000000003"/>
    <n v="2.4300000000000002"/>
    <n v="142.79"/>
  </r>
  <r>
    <s v="CMP0126"/>
    <s v="Pre-emptive 4thgeneration utilization"/>
    <x v="4"/>
    <s v="Conversion"/>
    <s v="USA"/>
    <d v="2024-02-19T00:00:00"/>
    <d v="2024-03-20T00:00:00"/>
    <n v="410092"/>
    <n v="14763"/>
    <n v="255"/>
    <n v="12897.15"/>
    <n v="31205.11"/>
    <n v="3.6"/>
    <n v="1.73"/>
    <n v="0.87"/>
    <n v="50.58"/>
    <n v="2.42"/>
    <n v="141.94999999999999"/>
  </r>
  <r>
    <s v="CMP0127"/>
    <s v="Down-sized didactic process improvement"/>
    <x v="2"/>
    <s v="Awareness"/>
    <s v="Australia"/>
    <d v="2024-08-04T00:00:00"/>
    <d v="2024-08-14T00:00:00"/>
    <n v="344433"/>
    <n v="10987"/>
    <n v="587"/>
    <n v="9162.1299999999992"/>
    <n v="54342.73"/>
    <n v="3.19"/>
    <n v="5.35"/>
    <n v="0.83"/>
    <n v="15.61"/>
    <n v="5.93"/>
    <n v="493.12"/>
  </r>
  <r>
    <s v="CMP0128"/>
    <s v="Operative discrete support"/>
    <x v="4"/>
    <s v="Conversion"/>
    <s v="UK"/>
    <d v="2024-02-25T00:00:00"/>
    <d v="2024-03-25T00:00:00"/>
    <n v="104316"/>
    <n v="2816"/>
    <n v="63"/>
    <n v="10709.2"/>
    <n v="32225.07"/>
    <n v="2.7"/>
    <n v="2.2400000000000002"/>
    <n v="3.8"/>
    <n v="169.99"/>
    <n v="3.01"/>
    <n v="200.91"/>
  </r>
  <r>
    <s v="CMP0129"/>
    <s v="Optional analyzing frame"/>
    <x v="3"/>
    <s v="Conversion"/>
    <s v="India"/>
    <d v="2024-11-14T00:00:00"/>
    <d v="2024-12-26T00:00:00"/>
    <n v="449824"/>
    <n v="25505"/>
    <n v="2616"/>
    <n v="2431.0100000000002"/>
    <n v="10998.73"/>
    <n v="5.67"/>
    <n v="10.26"/>
    <n v="0.1"/>
    <n v="0.93"/>
    <n v="4.5199999999999996"/>
    <n v="352.43"/>
  </r>
  <r>
    <s v="CMP0130"/>
    <s v="Cloned context-sensitive pricing structure"/>
    <x v="0"/>
    <s v="Conversion"/>
    <s v="India"/>
    <d v="2024-04-02T00:00:00"/>
    <d v="2024-04-18T00:00:00"/>
    <n v="144589"/>
    <n v="5190"/>
    <n v="444"/>
    <n v="23430.75"/>
    <n v="83872.84"/>
    <n v="3.59"/>
    <n v="8.57"/>
    <n v="4.51"/>
    <n v="52.77"/>
    <n v="3.58"/>
    <n v="257.95999999999998"/>
  </r>
  <r>
    <s v="CMP0131"/>
    <s v="Function-based composite moderator"/>
    <x v="3"/>
    <s v="Retention"/>
    <s v="India"/>
    <d v="2024-07-11T00:00:00"/>
    <d v="2024-08-13T00:00:00"/>
    <n v="124383"/>
    <n v="10510"/>
    <n v="1862"/>
    <n v="912.91"/>
    <n v="4005.09"/>
    <n v="8.4499999999999993"/>
    <n v="17.72"/>
    <n v="0.09"/>
    <n v="0.49"/>
    <n v="4.3899999999999997"/>
    <n v="338.72"/>
  </r>
  <r>
    <s v="CMP0132"/>
    <s v="User-friendly multimedia hub"/>
    <x v="1"/>
    <s v="Conversion"/>
    <s v="USA"/>
    <d v="2024-01-27T00:00:00"/>
    <d v="2024-02-12T00:00:00"/>
    <n v="244014"/>
    <n v="3245"/>
    <n v="235"/>
    <n v="19062.52"/>
    <n v="89269.91"/>
    <n v="1.33"/>
    <n v="7.27"/>
    <n v="5.87"/>
    <n v="81.12"/>
    <n v="4.68"/>
    <n v="368.3"/>
  </r>
  <r>
    <s v="CMP0133"/>
    <s v="Organic explicit adapter"/>
    <x v="2"/>
    <s v="Awareness"/>
    <s v="India"/>
    <d v="2024-04-20T00:00:00"/>
    <d v="2024-05-29T00:00:00"/>
    <n v="192660"/>
    <n v="5452"/>
    <n v="224"/>
    <n v="12106.14"/>
    <n v="46776.03"/>
    <n v="2.83"/>
    <n v="4.12"/>
    <n v="2.2200000000000002"/>
    <n v="54.05"/>
    <n v="3.86"/>
    <n v="286.38"/>
  </r>
  <r>
    <s v="CMP0134"/>
    <s v="Horizontal 6thgeneration superstructure"/>
    <x v="0"/>
    <s v="Conversion"/>
    <s v="Canada"/>
    <d v="2024-01-24T00:00:00"/>
    <d v="2024-02-14T00:00:00"/>
    <n v="108138"/>
    <n v="3925"/>
    <n v="316"/>
    <n v="14732.66"/>
    <n v="73694.19"/>
    <n v="3.63"/>
    <n v="8.07"/>
    <n v="3.75"/>
    <n v="46.62"/>
    <n v="5"/>
    <n v="400.21"/>
  </r>
  <r>
    <s v="CMP0135"/>
    <s v="Upgradable reciprocal moratorium"/>
    <x v="1"/>
    <s v="Awareness"/>
    <s v="India"/>
    <d v="2024-06-16T00:00:00"/>
    <d v="2024-06-30T00:00:00"/>
    <n v="157176"/>
    <n v="2059"/>
    <n v="133"/>
    <n v="6195.76"/>
    <n v="19515.64"/>
    <n v="1.31"/>
    <n v="6.48"/>
    <n v="3.01"/>
    <n v="46.58"/>
    <n v="3.15"/>
    <n v="214.98"/>
  </r>
  <r>
    <s v="CMP0136"/>
    <s v="Virtual transitional policy"/>
    <x v="0"/>
    <s v="Retention"/>
    <s v="Canada"/>
    <d v="2024-06-30T00:00:00"/>
    <d v="2024-07-11T00:00:00"/>
    <n v="142114"/>
    <n v="4291"/>
    <n v="308"/>
    <n v="9602.2099999999991"/>
    <n v="43346.83"/>
    <n v="3.02"/>
    <n v="7.2"/>
    <n v="2.2400000000000002"/>
    <n v="31.18"/>
    <n v="4.51"/>
    <n v="351.43"/>
  </r>
  <r>
    <s v="CMP0137"/>
    <s v="Streamlined hybrid monitoring"/>
    <x v="1"/>
    <s v="Awareness"/>
    <s v="Canada"/>
    <d v="2024-07-26T00:00:00"/>
    <d v="2024-08-28T00:00:00"/>
    <n v="59825"/>
    <n v="945"/>
    <n v="52"/>
    <n v="9008.9699999999993"/>
    <n v="35421.279999999999"/>
    <n v="1.58"/>
    <n v="5.55"/>
    <n v="9.5299999999999994"/>
    <n v="173.25"/>
    <n v="3.93"/>
    <n v="293.18"/>
  </r>
  <r>
    <s v="CMP0138"/>
    <s v="Synchronized user-facing architecture"/>
    <x v="4"/>
    <s v="Awareness"/>
    <s v="Canada"/>
    <d v="2024-07-04T00:00:00"/>
    <d v="2024-07-16T00:00:00"/>
    <n v="60934"/>
    <n v="2260"/>
    <n v="47"/>
    <n v="14345.18"/>
    <n v="58391.14"/>
    <n v="3.71"/>
    <n v="2.1"/>
    <n v="6.35"/>
    <n v="305.22000000000003"/>
    <n v="4.07"/>
    <n v="307.04000000000002"/>
  </r>
  <r>
    <s v="CMP0139"/>
    <s v="Networked static open system"/>
    <x v="1"/>
    <s v="Awareness"/>
    <s v="USA"/>
    <d v="2024-06-22T00:00:00"/>
    <d v="2024-07-13T00:00:00"/>
    <n v="278419"/>
    <n v="5011"/>
    <n v="434"/>
    <n v="10332.27"/>
    <n v="35090.82"/>
    <n v="1.8"/>
    <n v="8.67"/>
    <n v="2.06"/>
    <n v="23.81"/>
    <n v="3.4"/>
    <n v="239.62"/>
  </r>
  <r>
    <s v="CMP0140"/>
    <s v="Diverse asymmetric framework"/>
    <x v="4"/>
    <s v="Lead Generation"/>
    <s v="India"/>
    <d v="2024-06-28T00:00:00"/>
    <d v="2024-07-14T00:00:00"/>
    <n v="317640"/>
    <n v="9052"/>
    <n v="304"/>
    <n v="4923.8"/>
    <n v="27046.57"/>
    <n v="2.85"/>
    <n v="3.36"/>
    <n v="0.54"/>
    <n v="16.2"/>
    <n v="5.49"/>
    <n v="449.3"/>
  </r>
  <r>
    <s v="CMP0141"/>
    <s v="Reverse-engineered grid-enabled circuit"/>
    <x v="2"/>
    <s v="Awareness"/>
    <s v="USA"/>
    <d v="2024-03-31T00:00:00"/>
    <d v="2024-05-08T00:00:00"/>
    <n v="184201"/>
    <n v="3849"/>
    <n v="192"/>
    <n v="14403.23"/>
    <n v="71292.97"/>
    <n v="2.09"/>
    <n v="5.01"/>
    <n v="3.74"/>
    <n v="75.02"/>
    <n v="4.95"/>
    <n v="394.98"/>
  </r>
  <r>
    <s v="CMP0142"/>
    <s v="Pre-emptive actuating productivity"/>
    <x v="1"/>
    <s v="Retention"/>
    <s v="Australia"/>
    <d v="2024-03-18T00:00:00"/>
    <d v="2024-04-22T00:00:00"/>
    <n v="387112"/>
    <n v="7277"/>
    <n v="681"/>
    <n v="17827.95"/>
    <n v="85974.9"/>
    <n v="1.88"/>
    <n v="9.3699999999999992"/>
    <n v="2.4500000000000002"/>
    <n v="26.18"/>
    <n v="4.82"/>
    <n v="382.25"/>
  </r>
  <r>
    <s v="CMP0143"/>
    <s v="Streamlined intermediate focus group"/>
    <x v="0"/>
    <s v="Retention"/>
    <s v="Canada"/>
    <d v="2024-06-07T00:00:00"/>
    <d v="2024-07-13T00:00:00"/>
    <n v="381027"/>
    <n v="14136"/>
    <n v="798"/>
    <n v="6123.44"/>
    <n v="26226.79"/>
    <n v="3.71"/>
    <n v="5.65"/>
    <n v="0.43"/>
    <n v="7.67"/>
    <n v="4.28"/>
    <n v="328.3"/>
  </r>
  <r>
    <s v="CMP0144"/>
    <s v="Persistent systematic project"/>
    <x v="1"/>
    <s v="Awareness"/>
    <s v="India"/>
    <d v="2024-11-10T00:00:00"/>
    <d v="2024-12-25T00:00:00"/>
    <n v="243324"/>
    <n v="5377"/>
    <n v="297"/>
    <n v="17828"/>
    <n v="104272.77"/>
    <n v="2.21"/>
    <n v="5.54"/>
    <n v="3.32"/>
    <n v="60.03"/>
    <n v="5.85"/>
    <n v="484.88"/>
  </r>
  <r>
    <s v="CMP0145"/>
    <s v="Monitored bottom-line circuit"/>
    <x v="3"/>
    <s v="Retention"/>
    <s v="Canada"/>
    <d v="2024-10-19T00:00:00"/>
    <d v="2024-11-07T00:00:00"/>
    <n v="354259"/>
    <n v="25967"/>
    <n v="4133"/>
    <n v="4531.45"/>
    <n v="18233.66"/>
    <n v="7.33"/>
    <n v="15.92"/>
    <n v="0.17"/>
    <n v="1.1000000000000001"/>
    <n v="4.0199999999999996"/>
    <n v="302.38"/>
  </r>
  <r>
    <s v="CMP0146"/>
    <s v="Managed cohesive intranet"/>
    <x v="4"/>
    <s v="Retention"/>
    <s v="Australia"/>
    <d v="2024-02-13T00:00:00"/>
    <d v="2024-03-23T00:00:00"/>
    <n v="129094"/>
    <n v="4763"/>
    <n v="146"/>
    <n v="12637.09"/>
    <n v="72893.23"/>
    <n v="3.69"/>
    <n v="3.08"/>
    <n v="2.65"/>
    <n v="86.56"/>
    <n v="5.77"/>
    <n v="476.82"/>
  </r>
  <r>
    <s v="CMP0147"/>
    <s v="Ergonomic incremental neural-net"/>
    <x v="2"/>
    <s v="Awareness"/>
    <s v="USA"/>
    <d v="2024-07-09T00:00:00"/>
    <d v="2024-08-03T00:00:00"/>
    <n v="420997"/>
    <n v="11830"/>
    <n v="496"/>
    <n v="10841.22"/>
    <n v="29426.95"/>
    <n v="2.81"/>
    <n v="4.2"/>
    <n v="0.92"/>
    <n v="21.86"/>
    <n v="2.71"/>
    <n v="171.44"/>
  </r>
  <r>
    <s v="CMP0148"/>
    <s v="Sharable interactive methodology"/>
    <x v="1"/>
    <s v="Retention"/>
    <s v="UK"/>
    <d v="2024-02-18T00:00:00"/>
    <d v="2024-03-31T00:00:00"/>
    <n v="405937"/>
    <n v="7388"/>
    <n v="777"/>
    <n v="14356.89"/>
    <n v="32972.080000000002"/>
    <n v="1.82"/>
    <n v="10.52"/>
    <n v="1.94"/>
    <n v="18.48"/>
    <n v="2.2999999999999998"/>
    <n v="129.66"/>
  </r>
  <r>
    <s v="CMP0149"/>
    <s v="Total mobile capacity"/>
    <x v="1"/>
    <s v="Conversion"/>
    <s v="UK"/>
    <d v="2024-02-11T00:00:00"/>
    <d v="2024-03-26T00:00:00"/>
    <n v="429444"/>
    <n v="9662"/>
    <n v="1135"/>
    <n v="13643.21"/>
    <n v="36518.51"/>
    <n v="2.25"/>
    <n v="11.75"/>
    <n v="1.41"/>
    <n v="12.02"/>
    <n v="2.68"/>
    <n v="167.67"/>
  </r>
  <r>
    <s v="CMP0150"/>
    <s v="Decentralized transitional methodology"/>
    <x v="2"/>
    <s v="Conversion"/>
    <s v="UK"/>
    <d v="2024-06-07T00:00:00"/>
    <d v="2024-07-19T00:00:00"/>
    <n v="393961"/>
    <n v="14182"/>
    <n v="561"/>
    <n v="11925.62"/>
    <n v="74189.399999999994"/>
    <n v="3.6"/>
    <n v="3.96"/>
    <n v="0.84"/>
    <n v="21.26"/>
    <n v="6.22"/>
    <n v="522.1"/>
  </r>
  <r>
    <s v="CMP0151"/>
    <s v="User-centric zero administration access"/>
    <x v="1"/>
    <s v="Conversion"/>
    <s v="USA"/>
    <d v="2024-02-17T00:00:00"/>
    <d v="2024-03-22T00:00:00"/>
    <n v="401333"/>
    <n v="7986"/>
    <n v="928"/>
    <n v="19954.63"/>
    <n v="121843.29"/>
    <n v="1.99"/>
    <n v="11.63"/>
    <n v="2.5"/>
    <n v="21.5"/>
    <n v="6.11"/>
    <n v="510.6"/>
  </r>
  <r>
    <s v="CMP0152"/>
    <s v="Focused didactic instruction set"/>
    <x v="3"/>
    <s v="Conversion"/>
    <s v="India"/>
    <d v="2024-04-08T00:00:00"/>
    <d v="2024-04-29T00:00:00"/>
    <n v="240105"/>
    <n v="14046"/>
    <n v="2459"/>
    <n v="2037.8"/>
    <n v="11101.33"/>
    <n v="5.85"/>
    <n v="17.510000000000002"/>
    <n v="0.15"/>
    <n v="0.83"/>
    <n v="5.45"/>
    <n v="444.77"/>
  </r>
  <r>
    <s v="CMP0153"/>
    <s v="Optional zero-defect conglomeration"/>
    <x v="2"/>
    <s v="Lead Generation"/>
    <s v="India"/>
    <d v="2024-09-26T00:00:00"/>
    <d v="2024-10-05T00:00:00"/>
    <n v="205080"/>
    <n v="8264"/>
    <n v="207"/>
    <n v="14563.12"/>
    <n v="83855.02"/>
    <n v="4.03"/>
    <n v="2.5099999999999998"/>
    <n v="1.76"/>
    <n v="70.349999999999994"/>
    <n v="5.76"/>
    <n v="475.8"/>
  </r>
  <r>
    <s v="CMP0154"/>
    <s v="Expanded high-level function"/>
    <x v="4"/>
    <s v="Lead Generation"/>
    <s v="Australia"/>
    <d v="2024-03-25T00:00:00"/>
    <d v="2024-04-29T00:00:00"/>
    <n v="247509"/>
    <n v="3960"/>
    <n v="84"/>
    <n v="11160.57"/>
    <n v="53697.21"/>
    <n v="1.6"/>
    <n v="2.13"/>
    <n v="2.82"/>
    <n v="132.86000000000001"/>
    <n v="4.8099999999999996"/>
    <n v="381.13"/>
  </r>
  <r>
    <s v="CMP0155"/>
    <s v="Team-oriented zero tolerance hierarchy"/>
    <x v="0"/>
    <s v="Retention"/>
    <s v="UK"/>
    <d v="2024-08-17T00:00:00"/>
    <d v="2024-09-07T00:00:00"/>
    <n v="404608"/>
    <n v="21767"/>
    <n v="2137"/>
    <n v="17211.91"/>
    <n v="92699.22"/>
    <n v="5.38"/>
    <n v="9.82"/>
    <n v="0.79"/>
    <n v="8.0500000000000007"/>
    <n v="5.39"/>
    <n v="438.58"/>
  </r>
  <r>
    <s v="CMP0156"/>
    <s v="Proactive client-driven workforce"/>
    <x v="3"/>
    <s v="Lead Generation"/>
    <s v="UK"/>
    <d v="2024-10-19T00:00:00"/>
    <d v="2024-11-23T00:00:00"/>
    <n v="473951"/>
    <n v="41281"/>
    <n v="7034"/>
    <n v="1373.07"/>
    <n v="6937.27"/>
    <n v="8.7100000000000009"/>
    <n v="17.04"/>
    <n v="0.03"/>
    <n v="0.2"/>
    <n v="5.05"/>
    <n v="405.24"/>
  </r>
  <r>
    <s v="CMP0157"/>
    <s v="Advanced heuristic knowledge user"/>
    <x v="1"/>
    <s v="Conversion"/>
    <s v="Canada"/>
    <d v="2024-03-11T00:00:00"/>
    <d v="2024-04-03T00:00:00"/>
    <n v="313667"/>
    <n v="5332"/>
    <n v="627"/>
    <n v="17070.259999999998"/>
    <n v="95690.18"/>
    <n v="1.7"/>
    <n v="11.76"/>
    <n v="3.2"/>
    <n v="27.23"/>
    <n v="5.61"/>
    <n v="460.57"/>
  </r>
  <r>
    <s v="CMP0158"/>
    <s v="Decentralized disintermediate Graphic Interface"/>
    <x v="0"/>
    <s v="Retention"/>
    <s v="UK"/>
    <d v="2024-02-12T00:00:00"/>
    <d v="2024-02-29T00:00:00"/>
    <n v="340739"/>
    <n v="21262"/>
    <n v="1758"/>
    <n v="15318.19"/>
    <n v="39230.65"/>
    <n v="6.24"/>
    <n v="8.27"/>
    <n v="0.72"/>
    <n v="8.7100000000000009"/>
    <n v="2.56"/>
    <n v="156.1"/>
  </r>
  <r>
    <s v="CMP0159"/>
    <s v="Mandatory client-server artificial intelligence"/>
    <x v="4"/>
    <s v="Retention"/>
    <s v="Australia"/>
    <d v="2024-06-27T00:00:00"/>
    <d v="2024-07-05T00:00:00"/>
    <n v="127253"/>
    <n v="4275"/>
    <n v="77"/>
    <n v="13881.31"/>
    <n v="78778.720000000001"/>
    <n v="3.36"/>
    <n v="1.82"/>
    <n v="3.25"/>
    <n v="180.28"/>
    <n v="5.68"/>
    <n v="467.52"/>
  </r>
  <r>
    <s v="CMP0160"/>
    <s v="Organized actuating collaboration"/>
    <x v="1"/>
    <s v="Awareness"/>
    <s v="Canada"/>
    <d v="2024-06-12T00:00:00"/>
    <d v="2024-06-25T00:00:00"/>
    <n v="313196"/>
    <n v="4510"/>
    <n v="347"/>
    <n v="5305.69"/>
    <n v="15972.38"/>
    <n v="1.44"/>
    <n v="7.7"/>
    <n v="1.18"/>
    <n v="15.29"/>
    <n v="3.01"/>
    <n v="201.04"/>
  </r>
  <r>
    <s v="CMP0161"/>
    <s v="Distributed real-time migration"/>
    <x v="4"/>
    <s v="Lead Generation"/>
    <s v="USA"/>
    <d v="2024-08-28T00:00:00"/>
    <d v="2024-10-02T00:00:00"/>
    <n v="70081"/>
    <n v="1366"/>
    <n v="60"/>
    <n v="11200.9"/>
    <n v="29397.51"/>
    <n v="1.95"/>
    <n v="4.4000000000000004"/>
    <n v="8.1999999999999993"/>
    <n v="186.68"/>
    <n v="2.62"/>
    <n v="162.46"/>
  </r>
  <r>
    <s v="CMP0162"/>
    <s v="Integrated zero-defect capacity"/>
    <x v="3"/>
    <s v="Awareness"/>
    <s v="India"/>
    <d v="2024-09-27T00:00:00"/>
    <d v="2024-10-31T00:00:00"/>
    <n v="59963"/>
    <n v="3321"/>
    <n v="542"/>
    <n v="2969.62"/>
    <n v="15657.49"/>
    <n v="5.54"/>
    <n v="16.350000000000001"/>
    <n v="0.89"/>
    <n v="5.48"/>
    <n v="5.27"/>
    <n v="427.26"/>
  </r>
  <r>
    <s v="CMP0163"/>
    <s v="Profit-focused disintermediate definition"/>
    <x v="0"/>
    <s v="Conversion"/>
    <s v="USA"/>
    <d v="2024-02-02T00:00:00"/>
    <d v="2024-02-16T00:00:00"/>
    <n v="207889"/>
    <n v="6215"/>
    <n v="337"/>
    <n v="17779.03"/>
    <n v="85386.42"/>
    <n v="2.99"/>
    <n v="5.43"/>
    <n v="2.86"/>
    <n v="52.76"/>
    <n v="4.8"/>
    <n v="380.26"/>
  </r>
  <r>
    <s v="CMP0164"/>
    <s v="Function-based interactive emulation"/>
    <x v="1"/>
    <s v="Awareness"/>
    <s v="Australia"/>
    <d v="2024-05-03T00:00:00"/>
    <d v="2024-06-15T00:00:00"/>
    <n v="351490"/>
    <n v="4253"/>
    <n v="255"/>
    <n v="10867.82"/>
    <n v="51803.02"/>
    <n v="1.21"/>
    <n v="6.01"/>
    <n v="2.56"/>
    <n v="42.62"/>
    <n v="4.7699999999999996"/>
    <n v="376.66"/>
  </r>
  <r>
    <s v="CMP0165"/>
    <s v="Implemented executive archive"/>
    <x v="1"/>
    <s v="Lead Generation"/>
    <s v="India"/>
    <d v="2024-09-16T00:00:00"/>
    <d v="2024-10-28T00:00:00"/>
    <n v="324456"/>
    <n v="7981"/>
    <n v="436"/>
    <n v="12416.95"/>
    <n v="53181.48"/>
    <n v="2.46"/>
    <n v="5.47"/>
    <n v="1.56"/>
    <n v="28.48"/>
    <n v="4.28"/>
    <n v="328.3"/>
  </r>
  <r>
    <s v="CMP0166"/>
    <s v="Public-key analyzing software"/>
    <x v="0"/>
    <s v="Retention"/>
    <s v="Canada"/>
    <d v="2024-02-04T00:00:00"/>
    <d v="2024-03-04T00:00:00"/>
    <n v="72824"/>
    <n v="3670"/>
    <n v="362"/>
    <n v="10073.01"/>
    <n v="20882.259999999998"/>
    <n v="5.04"/>
    <n v="9.89"/>
    <n v="2.74"/>
    <n v="27.83"/>
    <n v="2.0699999999999998"/>
    <n v="107.31"/>
  </r>
  <r>
    <s v="CMP0167"/>
    <s v="Realigned asymmetric instruction set"/>
    <x v="2"/>
    <s v="Awareness"/>
    <s v="Australia"/>
    <d v="2024-11-25T00:00:00"/>
    <d v="2024-12-13T00:00:00"/>
    <n v="435449"/>
    <n v="16416"/>
    <n v="438"/>
    <n v="8284.49"/>
    <n v="29190.09"/>
    <n v="3.77"/>
    <n v="2.67"/>
    <n v="0.5"/>
    <n v="18.91"/>
    <n v="3.52"/>
    <n v="252.35"/>
  </r>
  <r>
    <s v="CMP0168"/>
    <s v="Multi-lateral eco-centric service-desk"/>
    <x v="1"/>
    <s v="Retention"/>
    <s v="USA"/>
    <d v="2024-04-13T00:00:00"/>
    <d v="2024-04-22T00:00:00"/>
    <n v="475458"/>
    <n v="4897"/>
    <n v="490"/>
    <n v="19097.68"/>
    <n v="41373.730000000003"/>
    <n v="1.03"/>
    <n v="10.01"/>
    <n v="3.9"/>
    <n v="38.97"/>
    <n v="2.17"/>
    <n v="116.64"/>
  </r>
  <r>
    <s v="CMP0169"/>
    <s v="Open-architected system-worthy model"/>
    <x v="2"/>
    <s v="Awareness"/>
    <s v="UK"/>
    <d v="2024-04-07T00:00:00"/>
    <d v="2024-05-02T00:00:00"/>
    <n v="212569"/>
    <n v="6483"/>
    <n v="450"/>
    <n v="11145.46"/>
    <n v="34995.760000000002"/>
    <n v="3.05"/>
    <n v="6.95"/>
    <n v="1.72"/>
    <n v="24.77"/>
    <n v="3.14"/>
    <n v="213.99"/>
  </r>
  <r>
    <s v="CMP0170"/>
    <s v="Adaptive hybrid service-desk"/>
    <x v="4"/>
    <s v="Awareness"/>
    <s v="UK"/>
    <d v="2024-07-16T00:00:00"/>
    <d v="2024-08-13T00:00:00"/>
    <n v="193244"/>
    <n v="2937"/>
    <n v="81"/>
    <n v="13618.58"/>
    <n v="72789.740000000005"/>
    <n v="1.52"/>
    <n v="2.79"/>
    <n v="4.6399999999999997"/>
    <n v="168.13"/>
    <n v="5.34"/>
    <n v="434.49"/>
  </r>
  <r>
    <s v="CMP0171"/>
    <s v="Digitized dedicated artificial intelligence"/>
    <x v="2"/>
    <s v="Retention"/>
    <s v="Canada"/>
    <d v="2024-02-10T00:00:00"/>
    <d v="2024-03-15T00:00:00"/>
    <n v="242595"/>
    <n v="10358"/>
    <n v="476"/>
    <n v="15017.22"/>
    <n v="79168.77"/>
    <n v="4.2699999999999996"/>
    <n v="4.5999999999999996"/>
    <n v="1.45"/>
    <n v="31.55"/>
    <n v="5.27"/>
    <n v="427.19"/>
  </r>
  <r>
    <s v="CMP0172"/>
    <s v="Synchronized zero administration groupware"/>
    <x v="3"/>
    <s v="Lead Generation"/>
    <s v="Australia"/>
    <d v="2024-11-04T00:00:00"/>
    <d v="2024-12-08T00:00:00"/>
    <n v="204018"/>
    <n v="12098"/>
    <n v="1064"/>
    <n v="3474.14"/>
    <n v="11739.92"/>
    <n v="5.93"/>
    <n v="8.8000000000000007"/>
    <n v="0.28999999999999998"/>
    <n v="3.27"/>
    <n v="3.38"/>
    <n v="237.92"/>
  </r>
  <r>
    <s v="CMP0173"/>
    <s v="Multi-layered bi-directional encryption"/>
    <x v="2"/>
    <s v="Retention"/>
    <s v="UK"/>
    <d v="2024-05-20T00:00:00"/>
    <d v="2024-05-30T00:00:00"/>
    <n v="284424"/>
    <n v="4636"/>
    <n v="294"/>
    <n v="8288.39"/>
    <n v="53805.56"/>
    <n v="1.63"/>
    <n v="6.35"/>
    <n v="1.79"/>
    <n v="28.19"/>
    <n v="6.49"/>
    <n v="549.16999999999996"/>
  </r>
  <r>
    <s v="CMP0174"/>
    <s v="Future-proofed solution-oriented adapter"/>
    <x v="0"/>
    <s v="Retention"/>
    <s v="UK"/>
    <d v="2024-11-07T00:00:00"/>
    <d v="2024-12-12T00:00:00"/>
    <n v="319004"/>
    <n v="18183"/>
    <n v="1469"/>
    <n v="24055.79"/>
    <n v="63567.61"/>
    <n v="5.7"/>
    <n v="8.08"/>
    <n v="1.32"/>
    <n v="16.38"/>
    <n v="2.64"/>
    <n v="164.25"/>
  </r>
  <r>
    <s v="CMP0175"/>
    <s v="Realigned composite complexity"/>
    <x v="0"/>
    <s v="Lead Generation"/>
    <s v="India"/>
    <d v="2024-11-05T00:00:00"/>
    <d v="2024-11-21T00:00:00"/>
    <n v="173729"/>
    <n v="9746"/>
    <n v="604"/>
    <n v="12657.09"/>
    <n v="57622.68"/>
    <n v="5.61"/>
    <n v="6.2"/>
    <n v="1.3"/>
    <n v="20.96"/>
    <n v="4.55"/>
    <n v="355.26"/>
  </r>
  <r>
    <s v="CMP0176"/>
    <s v="Profit-focused object-oriented monitoring"/>
    <x v="1"/>
    <s v="Conversion"/>
    <s v="UK"/>
    <d v="2024-05-22T00:00:00"/>
    <d v="2024-06-13T00:00:00"/>
    <n v="282752"/>
    <n v="5937"/>
    <n v="535"/>
    <n v="12471.36"/>
    <n v="47280.84"/>
    <n v="2.1"/>
    <n v="9.02"/>
    <n v="2.1"/>
    <n v="23.31"/>
    <n v="3.79"/>
    <n v="279.12"/>
  </r>
  <r>
    <s v="CMP0177"/>
    <s v="Networked local collaboration"/>
    <x v="0"/>
    <s v="Awareness"/>
    <s v="USA"/>
    <d v="2024-08-16T00:00:00"/>
    <d v="2024-09-05T00:00:00"/>
    <n v="311642"/>
    <n v="14242"/>
    <n v="1350"/>
    <n v="7355.22"/>
    <n v="40360.589999999997"/>
    <n v="4.57"/>
    <n v="9.48"/>
    <n v="0.52"/>
    <n v="5.45"/>
    <n v="5.49"/>
    <n v="448.73"/>
  </r>
  <r>
    <s v="CMP0178"/>
    <s v="Front-line incremental task-force"/>
    <x v="3"/>
    <s v="Conversion"/>
    <s v="Canada"/>
    <d v="2024-08-15T00:00:00"/>
    <d v="2024-08-27T00:00:00"/>
    <n v="154951"/>
    <n v="7344"/>
    <n v="1213"/>
    <n v="2534.19"/>
    <n v="15316.79"/>
    <n v="4.74"/>
    <n v="16.53"/>
    <n v="0.35"/>
    <n v="2.09"/>
    <n v="6.04"/>
    <n v="504.41"/>
  </r>
  <r>
    <s v="CMP0179"/>
    <s v="Secured bi-directional analyzer"/>
    <x v="4"/>
    <s v="Conversion"/>
    <s v="India"/>
    <d v="2024-11-22T00:00:00"/>
    <d v="2024-12-10T00:00:00"/>
    <n v="338356"/>
    <n v="8831"/>
    <n v="407"/>
    <n v="13142.03"/>
    <n v="68379.83"/>
    <n v="2.61"/>
    <n v="4.62"/>
    <n v="1.49"/>
    <n v="32.29"/>
    <n v="5.2"/>
    <n v="420.31"/>
  </r>
  <r>
    <s v="CMP0180"/>
    <s v="Optional methodical hardware"/>
    <x v="4"/>
    <s v="Lead Generation"/>
    <s v="India"/>
    <d v="2024-10-20T00:00:00"/>
    <d v="2024-11-19T00:00:00"/>
    <n v="155371"/>
    <n v="5065"/>
    <n v="118"/>
    <n v="8675.27"/>
    <n v="31439.48"/>
    <n v="3.26"/>
    <n v="2.33"/>
    <n v="1.71"/>
    <n v="73.52"/>
    <n v="3.62"/>
    <n v="262.39999999999998"/>
  </r>
  <r>
    <s v="CMP0181"/>
    <s v="Networked leadingedge concept"/>
    <x v="1"/>
    <s v="Lead Generation"/>
    <s v="Australia"/>
    <d v="2024-07-29T00:00:00"/>
    <d v="2024-08-31T00:00:00"/>
    <n v="95201"/>
    <n v="866"/>
    <n v="67"/>
    <n v="15470.94"/>
    <n v="64266.18"/>
    <n v="0.91"/>
    <n v="7.79"/>
    <n v="17.86"/>
    <n v="230.91"/>
    <n v="4.1500000000000004"/>
    <n v="315.39999999999998"/>
  </r>
  <r>
    <s v="CMP0182"/>
    <s v="Realigned hybrid matrices"/>
    <x v="3"/>
    <s v="Awareness"/>
    <s v="USA"/>
    <d v="2024-10-09T00:00:00"/>
    <d v="2024-11-22T00:00:00"/>
    <n v="216213"/>
    <n v="16972"/>
    <n v="2121"/>
    <n v="3560.49"/>
    <n v="12640.87"/>
    <n v="7.85"/>
    <n v="12.5"/>
    <n v="0.21"/>
    <n v="1.68"/>
    <n v="3.55"/>
    <n v="255.03"/>
  </r>
  <r>
    <s v="CMP0183"/>
    <s v="Intuitive full-range analyzer"/>
    <x v="2"/>
    <s v="Lead Generation"/>
    <s v="Canada"/>
    <d v="2024-03-25T00:00:00"/>
    <d v="2024-04-11T00:00:00"/>
    <n v="313645"/>
    <n v="13267"/>
    <n v="302"/>
    <n v="4862.42"/>
    <n v="13072.95"/>
    <n v="4.2300000000000004"/>
    <n v="2.2799999999999998"/>
    <n v="0.37"/>
    <n v="16.100000000000001"/>
    <n v="2.69"/>
    <n v="168.86"/>
  </r>
  <r>
    <s v="CMP0184"/>
    <s v="Function-based asynchronous function"/>
    <x v="4"/>
    <s v="Lead Generation"/>
    <s v="UK"/>
    <d v="2024-10-09T00:00:00"/>
    <d v="2024-11-02T00:00:00"/>
    <n v="322051"/>
    <n v="11368"/>
    <n v="507"/>
    <n v="5632.57"/>
    <n v="27361.66"/>
    <n v="3.53"/>
    <n v="4.46"/>
    <n v="0.5"/>
    <n v="11.11"/>
    <n v="4.8600000000000003"/>
    <n v="385.78"/>
  </r>
  <r>
    <s v="CMP0185"/>
    <s v="Secured homogeneous frame"/>
    <x v="2"/>
    <s v="Conversion"/>
    <s v="Australia"/>
    <d v="2024-03-28T00:00:00"/>
    <d v="2024-05-12T00:00:00"/>
    <n v="329696"/>
    <n v="5868"/>
    <n v="305"/>
    <n v="11877.13"/>
    <n v="54788.12"/>
    <n v="1.78"/>
    <n v="5.2"/>
    <n v="2.02"/>
    <n v="38.94"/>
    <n v="4.6100000000000003"/>
    <n v="361.29"/>
  </r>
  <r>
    <s v="CMP0186"/>
    <s v="Right-sized bottom-line firmware"/>
    <x v="4"/>
    <s v="Awareness"/>
    <s v="India"/>
    <d v="2024-10-19T00:00:00"/>
    <d v="2024-11-21T00:00:00"/>
    <n v="92584"/>
    <n v="1222"/>
    <n v="45"/>
    <n v="9709.64"/>
    <n v="47869.35"/>
    <n v="1.32"/>
    <n v="3.75"/>
    <n v="7.95"/>
    <n v="215.77"/>
    <n v="4.93"/>
    <n v="393.01"/>
  </r>
  <r>
    <s v="CMP0187"/>
    <s v="Total zero administration synergy"/>
    <x v="3"/>
    <s v="Awareness"/>
    <s v="Canada"/>
    <d v="2024-07-26T00:00:00"/>
    <d v="2024-08-21T00:00:00"/>
    <n v="378814"/>
    <n v="27539"/>
    <n v="3971"/>
    <n v="1859.42"/>
    <n v="5767.83"/>
    <n v="7.27"/>
    <n v="14.42"/>
    <n v="7.0000000000000007E-2"/>
    <n v="0.47"/>
    <n v="3.1"/>
    <n v="210.2"/>
  </r>
  <r>
    <s v="CMP0188"/>
    <s v="Streamlined systemic parallelism"/>
    <x v="1"/>
    <s v="Awareness"/>
    <s v="India"/>
    <d v="2024-06-09T00:00:00"/>
    <d v="2024-07-06T00:00:00"/>
    <n v="132879"/>
    <n v="2059"/>
    <n v="172"/>
    <n v="7264.37"/>
    <n v="34360.26"/>
    <n v="1.55"/>
    <n v="8.39"/>
    <n v="3.53"/>
    <n v="42.23"/>
    <n v="4.7300000000000004"/>
    <n v="373"/>
  </r>
  <r>
    <s v="CMP0189"/>
    <s v="Upgradable responsive knowledge user"/>
    <x v="4"/>
    <s v="Retention"/>
    <s v="USA"/>
    <d v="2024-05-16T00:00:00"/>
    <d v="2024-06-20T00:00:00"/>
    <n v="448807"/>
    <n v="9694"/>
    <n v="336"/>
    <n v="6488.95"/>
    <n v="26599.03"/>
    <n v="2.16"/>
    <n v="3.47"/>
    <n v="0.67"/>
    <n v="19.309999999999999"/>
    <n v="4.0999999999999996"/>
    <n v="309.91000000000003"/>
  </r>
  <r>
    <s v="CMP0190"/>
    <s v="Reduced background moderator"/>
    <x v="2"/>
    <s v="Lead Generation"/>
    <s v="India"/>
    <d v="2024-03-22T00:00:00"/>
    <d v="2024-04-18T00:00:00"/>
    <n v="76531"/>
    <n v="1813"/>
    <n v="71"/>
    <n v="12230.66"/>
    <n v="38125.61"/>
    <n v="2.37"/>
    <n v="3.92"/>
    <n v="6.75"/>
    <n v="172.26"/>
    <n v="3.12"/>
    <n v="211.72"/>
  </r>
  <r>
    <s v="CMP0191"/>
    <s v="Triple-buffered 24/7 hub"/>
    <x v="3"/>
    <s v="Conversion"/>
    <s v="USA"/>
    <d v="2024-09-11T00:00:00"/>
    <d v="2024-09-19T00:00:00"/>
    <n v="450095"/>
    <n v="22324"/>
    <n v="4009"/>
    <n v="2600.67"/>
    <n v="15489.18"/>
    <n v="4.96"/>
    <n v="17.96"/>
    <n v="0.12"/>
    <n v="0.65"/>
    <n v="5.96"/>
    <n v="495.58"/>
  </r>
  <r>
    <s v="CMP0192"/>
    <s v="Assimilated client-driven capability"/>
    <x v="0"/>
    <s v="Retention"/>
    <s v="Australia"/>
    <d v="2024-09-10T00:00:00"/>
    <d v="2024-10-25T00:00:00"/>
    <n v="289720"/>
    <n v="18455"/>
    <n v="976"/>
    <n v="12057.9"/>
    <n v="26858.15"/>
    <n v="6.37"/>
    <n v="5.29"/>
    <n v="0.65"/>
    <n v="12.35"/>
    <n v="2.23"/>
    <n v="122.74"/>
  </r>
  <r>
    <s v="CMP0193"/>
    <s v="Re-engineered scalable pricing structure"/>
    <x v="1"/>
    <s v="Conversion"/>
    <s v="Australia"/>
    <d v="2024-07-25T00:00:00"/>
    <d v="2024-08-24T00:00:00"/>
    <n v="54287"/>
    <n v="1216"/>
    <n v="97"/>
    <n v="18119.29"/>
    <n v="95557.26"/>
    <n v="2.2400000000000002"/>
    <n v="8.02"/>
    <n v="14.9"/>
    <n v="186.8"/>
    <n v="5.27"/>
    <n v="427.38"/>
  </r>
  <r>
    <s v="CMP0194"/>
    <s v="Networked full-range middleware"/>
    <x v="0"/>
    <s v="Retention"/>
    <s v="India"/>
    <d v="2024-08-18T00:00:00"/>
    <d v="2024-09-29T00:00:00"/>
    <n v="348991"/>
    <n v="16577"/>
    <n v="1024"/>
    <n v="10772.03"/>
    <n v="40271.99"/>
    <n v="4.75"/>
    <n v="6.18"/>
    <n v="0.65"/>
    <n v="10.52"/>
    <n v="3.74"/>
    <n v="273.86"/>
  </r>
  <r>
    <s v="CMP0195"/>
    <s v="Managed 3rdgeneration database"/>
    <x v="4"/>
    <s v="Awareness"/>
    <s v="USA"/>
    <d v="2024-03-14T00:00:00"/>
    <d v="2024-04-02T00:00:00"/>
    <n v="100688"/>
    <n v="2235"/>
    <n v="95"/>
    <n v="6738.57"/>
    <n v="41949.41"/>
    <n v="2.2200000000000002"/>
    <n v="4.28"/>
    <n v="3.02"/>
    <n v="70.930000000000007"/>
    <n v="6.23"/>
    <n v="522.53"/>
  </r>
  <r>
    <s v="CMP0196"/>
    <s v="Public-key encompassing Graphical User Interface"/>
    <x v="3"/>
    <s v="Retention"/>
    <s v="Australia"/>
    <d v="2024-08-21T00:00:00"/>
    <d v="2024-09-06T00:00:00"/>
    <n v="71105"/>
    <n v="3036"/>
    <n v="284"/>
    <n v="1998.68"/>
    <n v="8258.24"/>
    <n v="4.2699999999999996"/>
    <n v="9.3699999999999992"/>
    <n v="0.66"/>
    <n v="7.04"/>
    <n v="4.13"/>
    <n v="313.18"/>
  </r>
  <r>
    <s v="CMP0197"/>
    <s v="Monitored logistical function"/>
    <x v="3"/>
    <s v="Lead Generation"/>
    <s v="UK"/>
    <d v="2024-10-30T00:00:00"/>
    <d v="2024-11-27T00:00:00"/>
    <n v="371424"/>
    <n v="21951"/>
    <n v="2618"/>
    <n v="3274.25"/>
    <n v="18963.5"/>
    <n v="5.91"/>
    <n v="11.93"/>
    <n v="0.15"/>
    <n v="1.25"/>
    <n v="5.79"/>
    <n v="479.17"/>
  </r>
  <r>
    <s v="CMP0198"/>
    <s v="Streamlined mobile ability"/>
    <x v="3"/>
    <s v="Retention"/>
    <s v="Australia"/>
    <d v="2024-08-01T00:00:00"/>
    <d v="2024-09-14T00:00:00"/>
    <n v="207176"/>
    <n v="14191"/>
    <n v="1159"/>
    <n v="1990.58"/>
    <n v="4962.96"/>
    <n v="6.85"/>
    <n v="8.17"/>
    <n v="0.14000000000000001"/>
    <n v="1.72"/>
    <n v="2.4900000000000002"/>
    <n v="149.32"/>
  </r>
  <r>
    <s v="CMP0199"/>
    <s v="Vision-oriented zero administration Internet solution"/>
    <x v="4"/>
    <s v="Awareness"/>
    <s v="Australia"/>
    <d v="2024-04-26T00:00:00"/>
    <d v="2024-05-06T00:00:00"/>
    <n v="298821"/>
    <n v="5647"/>
    <n v="214"/>
    <n v="14650.71"/>
    <n v="67439.19"/>
    <n v="1.89"/>
    <n v="3.79"/>
    <n v="2.59"/>
    <n v="68.459999999999994"/>
    <n v="4.5999999999999996"/>
    <n v="360.31"/>
  </r>
  <r>
    <s v="CMP0200"/>
    <s v="Cross-platform web-enabled frame"/>
    <x v="3"/>
    <s v="Retention"/>
    <s v="USA"/>
    <d v="2024-05-04T00:00:00"/>
    <d v="2024-05-13T00:00:00"/>
    <n v="324848"/>
    <n v="25240"/>
    <n v="3584"/>
    <n v="4285.25"/>
    <n v="11420.15"/>
    <n v="7.77"/>
    <n v="14.2"/>
    <n v="0.17"/>
    <n v="1.2"/>
    <n v="2.66"/>
    <n v="166.5"/>
  </r>
  <r>
    <s v="CMP0201"/>
    <s v="Exclusive 4thgeneration interface"/>
    <x v="3"/>
    <s v="Awareness"/>
    <s v="USA"/>
    <d v="2024-09-13T00:00:00"/>
    <d v="2024-10-20T00:00:00"/>
    <n v="59928"/>
    <n v="3985"/>
    <n v="485"/>
    <n v="2358.3200000000002"/>
    <n v="6880.43"/>
    <n v="6.65"/>
    <n v="12.19"/>
    <n v="0.59"/>
    <n v="4.8600000000000003"/>
    <n v="2.92"/>
    <n v="191.75"/>
  </r>
  <r>
    <s v="CMP0202"/>
    <s v="Multi-lateral holistic architecture"/>
    <x v="0"/>
    <s v="Lead Generation"/>
    <s v="Australia"/>
    <d v="2024-03-29T00:00:00"/>
    <d v="2024-05-04T00:00:00"/>
    <n v="158706"/>
    <n v="7522"/>
    <n v="751"/>
    <n v="14567.42"/>
    <n v="53836.98"/>
    <n v="4.74"/>
    <n v="9.99"/>
    <n v="1.94"/>
    <n v="19.399999999999999"/>
    <n v="3.7"/>
    <n v="269.57"/>
  </r>
  <r>
    <s v="CMP0203"/>
    <s v="Streamlined uniform paradigm"/>
    <x v="3"/>
    <s v="Conversion"/>
    <s v="Australia"/>
    <d v="2024-05-15T00:00:00"/>
    <d v="2024-06-21T00:00:00"/>
    <n v="235748"/>
    <n v="19001"/>
    <n v="3169"/>
    <n v="3563.36"/>
    <n v="20013.38"/>
    <n v="8.06"/>
    <n v="16.68"/>
    <n v="0.19"/>
    <n v="1.1200000000000001"/>
    <n v="5.62"/>
    <n v="461.64"/>
  </r>
  <r>
    <s v="CMP0204"/>
    <s v="Expanded intangible project"/>
    <x v="2"/>
    <s v="Lead Generation"/>
    <s v="UK"/>
    <d v="2024-04-16T00:00:00"/>
    <d v="2024-05-24T00:00:00"/>
    <n v="342598"/>
    <n v="8222"/>
    <n v="551"/>
    <n v="17733.900000000001"/>
    <n v="97009.47"/>
    <n v="2.4"/>
    <n v="6.71"/>
    <n v="2.16"/>
    <n v="32.18"/>
    <n v="5.47"/>
    <n v="447.03"/>
  </r>
  <r>
    <s v="CMP0205"/>
    <s v="Pre-emptive client-server array"/>
    <x v="4"/>
    <s v="Retention"/>
    <s v="UK"/>
    <d v="2024-10-05T00:00:00"/>
    <d v="2024-11-05T00:00:00"/>
    <n v="343856"/>
    <n v="12481"/>
    <n v="534"/>
    <n v="5918.22"/>
    <n v="15082.19"/>
    <n v="3.63"/>
    <n v="4.28"/>
    <n v="0.47"/>
    <n v="11.08"/>
    <n v="2.5499999999999998"/>
    <n v="154.84"/>
  </r>
  <r>
    <s v="CMP0206"/>
    <s v="Fully-configurable object-oriented success"/>
    <x v="1"/>
    <s v="Conversion"/>
    <s v="USA"/>
    <d v="2024-05-11T00:00:00"/>
    <d v="2024-06-17T00:00:00"/>
    <n v="202280"/>
    <n v="1759"/>
    <n v="205"/>
    <n v="5264.47"/>
    <n v="32418.83"/>
    <n v="0.87"/>
    <n v="11.69"/>
    <n v="2.99"/>
    <n v="25.68"/>
    <n v="6.16"/>
    <n v="515.79999999999995"/>
  </r>
  <r>
    <s v="CMP0207"/>
    <s v="Multi-layered explicit ability"/>
    <x v="2"/>
    <s v="Lead Generation"/>
    <s v="Australia"/>
    <d v="2024-10-27T00:00:00"/>
    <d v="2024-11-18T00:00:00"/>
    <n v="192151"/>
    <n v="8262"/>
    <n v="452"/>
    <n v="5059.09"/>
    <n v="24134.62"/>
    <n v="4.3"/>
    <n v="5.48"/>
    <n v="0.61"/>
    <n v="11.19"/>
    <n v="4.7699999999999996"/>
    <n v="377.05"/>
  </r>
  <r>
    <s v="CMP0208"/>
    <s v="Synchronized global synergy"/>
    <x v="2"/>
    <s v="Awareness"/>
    <s v="Australia"/>
    <d v="2024-02-21T00:00:00"/>
    <d v="2024-03-07T00:00:00"/>
    <n v="168316"/>
    <n v="5739"/>
    <n v="129"/>
    <n v="9199.52"/>
    <n v="48096.11"/>
    <n v="3.41"/>
    <n v="2.2599999999999998"/>
    <n v="1.6"/>
    <n v="71.31"/>
    <n v="5.23"/>
    <n v="422.81"/>
  </r>
  <r>
    <s v="CMP0209"/>
    <s v="Assimilated bifurcated moderator"/>
    <x v="0"/>
    <s v="Lead Generation"/>
    <s v="Canada"/>
    <d v="2024-05-27T00:00:00"/>
    <d v="2024-06-23T00:00:00"/>
    <n v="392303"/>
    <n v="24479"/>
    <n v="2269"/>
    <n v="14548.97"/>
    <n v="42156.4"/>
    <n v="6.24"/>
    <n v="9.27"/>
    <n v="0.59"/>
    <n v="6.41"/>
    <n v="2.9"/>
    <n v="189.76"/>
  </r>
  <r>
    <s v="CMP0210"/>
    <s v="Triple-buffered neutral intranet"/>
    <x v="4"/>
    <s v="Awareness"/>
    <s v="India"/>
    <d v="2024-03-30T00:00:00"/>
    <d v="2024-05-02T00:00:00"/>
    <n v="391992"/>
    <n v="10544"/>
    <n v="355"/>
    <n v="11538.97"/>
    <n v="71714.84"/>
    <n v="2.69"/>
    <n v="3.37"/>
    <n v="1.0900000000000001"/>
    <n v="32.5"/>
    <n v="6.22"/>
    <n v="521.5"/>
  </r>
  <r>
    <s v="CMP0211"/>
    <s v="Inverse national flexibility"/>
    <x v="2"/>
    <s v="Awareness"/>
    <s v="Canada"/>
    <d v="2024-01-20T00:00:00"/>
    <d v="2024-01-27T00:00:00"/>
    <n v="463118"/>
    <n v="13847"/>
    <n v="924"/>
    <n v="17431.97"/>
    <n v="107506.07"/>
    <n v="2.99"/>
    <n v="6.68"/>
    <n v="1.26"/>
    <n v="18.87"/>
    <n v="6.17"/>
    <n v="516.72"/>
  </r>
  <r>
    <s v="CMP0212"/>
    <s v="Quality-focused bottom-line info-mediaries"/>
    <x v="4"/>
    <s v="Awareness"/>
    <s v="UK"/>
    <d v="2024-03-09T00:00:00"/>
    <d v="2024-04-17T00:00:00"/>
    <n v="199192"/>
    <n v="4740"/>
    <n v="177"/>
    <n v="9053.98"/>
    <n v="54339"/>
    <n v="2.38"/>
    <n v="3.74"/>
    <n v="1.91"/>
    <n v="51.15"/>
    <n v="6"/>
    <n v="500.17"/>
  </r>
  <r>
    <s v="CMP0213"/>
    <s v="Managed client-driven challenge"/>
    <x v="1"/>
    <s v="Conversion"/>
    <s v="USA"/>
    <d v="2024-04-05T00:00:00"/>
    <d v="2024-04-12T00:00:00"/>
    <n v="474051"/>
    <n v="4693"/>
    <n v="288"/>
    <n v="11342.63"/>
    <n v="35816.53"/>
    <n v="0.99"/>
    <n v="6.14"/>
    <n v="2.42"/>
    <n v="39.380000000000003"/>
    <n v="3.16"/>
    <n v="215.77"/>
  </r>
  <r>
    <s v="CMP0214"/>
    <s v="Intuitive 6thgeneration Graphical User Interface"/>
    <x v="4"/>
    <s v="Conversion"/>
    <s v="Australia"/>
    <d v="2024-08-06T00:00:00"/>
    <d v="2024-09-14T00:00:00"/>
    <n v="403580"/>
    <n v="12793"/>
    <n v="269"/>
    <n v="13201.83"/>
    <n v="79695.39"/>
    <n v="3.17"/>
    <n v="2.11"/>
    <n v="1.03"/>
    <n v="49.08"/>
    <n v="6.04"/>
    <n v="503.67"/>
  </r>
  <r>
    <s v="CMP0215"/>
    <s v="Function-based bottom-line utilization"/>
    <x v="4"/>
    <s v="Awareness"/>
    <s v="Canada"/>
    <d v="2024-01-04T00:00:00"/>
    <d v="2024-01-27T00:00:00"/>
    <n v="400882"/>
    <n v="5812"/>
    <n v="287"/>
    <n v="8468.18"/>
    <n v="52597.68"/>
    <n v="1.45"/>
    <n v="4.9400000000000004"/>
    <n v="1.46"/>
    <n v="29.51"/>
    <n v="6.21"/>
    <n v="521.12"/>
  </r>
  <r>
    <s v="CMP0216"/>
    <s v="Down-sized actuating process improvement"/>
    <x v="1"/>
    <s v="Lead Generation"/>
    <s v="Canada"/>
    <d v="2024-05-13T00:00:00"/>
    <d v="2024-06-12T00:00:00"/>
    <n v="445185"/>
    <n v="5564"/>
    <n v="406"/>
    <n v="13319.37"/>
    <n v="60975.38"/>
    <n v="1.25"/>
    <n v="7.31"/>
    <n v="2.39"/>
    <n v="32.81"/>
    <n v="4.58"/>
    <n v="357.79"/>
  </r>
  <r>
    <s v="CMP0217"/>
    <s v="Monitored optimizing Local Area Network"/>
    <x v="2"/>
    <s v="Awareness"/>
    <s v="India"/>
    <d v="2024-06-08T00:00:00"/>
    <d v="2024-06-22T00:00:00"/>
    <n v="294001"/>
    <n v="7114"/>
    <n v="286"/>
    <n v="10537.81"/>
    <n v="63522.26"/>
    <n v="2.42"/>
    <n v="4.03"/>
    <n v="1.48"/>
    <n v="36.85"/>
    <n v="6.03"/>
    <n v="502.8"/>
  </r>
  <r>
    <s v="CMP0218"/>
    <s v="Enhanced eco-centric portal"/>
    <x v="4"/>
    <s v="Conversion"/>
    <s v="Australia"/>
    <d v="2024-11-06T00:00:00"/>
    <d v="2024-12-06T00:00:00"/>
    <n v="165788"/>
    <n v="2934"/>
    <n v="57"/>
    <n v="4414.82"/>
    <n v="23684.66"/>
    <n v="1.77"/>
    <n v="1.97"/>
    <n v="1.5"/>
    <n v="77.45"/>
    <n v="5.36"/>
    <n v="436.48"/>
  </r>
  <r>
    <s v="CMP0219"/>
    <s v="Team-oriented even-keeled middleware"/>
    <x v="1"/>
    <s v="Retention"/>
    <s v="Australia"/>
    <d v="2024-02-11T00:00:00"/>
    <d v="2024-03-22T00:00:00"/>
    <n v="470476"/>
    <n v="9080"/>
    <n v="592"/>
    <n v="7959.45"/>
    <n v="42951.8"/>
    <n v="1.93"/>
    <n v="6.53"/>
    <n v="0.88"/>
    <n v="13.45"/>
    <n v="5.4"/>
    <n v="439.63"/>
  </r>
  <r>
    <s v="CMP0220"/>
    <s v="Re-engineered neutral model"/>
    <x v="1"/>
    <s v="Conversion"/>
    <s v="India"/>
    <d v="2024-10-01T00:00:00"/>
    <d v="2024-10-17T00:00:00"/>
    <n v="345786"/>
    <n v="3423"/>
    <n v="369"/>
    <n v="18446.21"/>
    <n v="53673.04"/>
    <n v="0.99"/>
    <n v="10.8"/>
    <n v="5.39"/>
    <n v="49.99"/>
    <n v="2.91"/>
    <n v="190.97"/>
  </r>
  <r>
    <s v="CMP0221"/>
    <s v="Programmable methodical product"/>
    <x v="2"/>
    <s v="Conversion"/>
    <s v="Australia"/>
    <d v="2024-09-18T00:00:00"/>
    <d v="2024-10-23T00:00:00"/>
    <n v="281651"/>
    <n v="5210"/>
    <n v="157"/>
    <n v="11747.22"/>
    <n v="28301.84"/>
    <n v="1.85"/>
    <n v="3.03"/>
    <n v="2.25"/>
    <n v="74.819999999999993"/>
    <n v="2.41"/>
    <n v="140.91999999999999"/>
  </r>
  <r>
    <s v="CMP0222"/>
    <s v="Multi-lateral system-worthy firmware"/>
    <x v="0"/>
    <s v="Retention"/>
    <s v="USA"/>
    <d v="2024-06-06T00:00:00"/>
    <d v="2024-06-14T00:00:00"/>
    <n v="319089"/>
    <n v="13274"/>
    <n v="979"/>
    <n v="16175.94"/>
    <n v="81323.81"/>
    <n v="4.16"/>
    <n v="7.38"/>
    <n v="1.22"/>
    <n v="16.52"/>
    <n v="5.03"/>
    <n v="402.75"/>
  </r>
  <r>
    <s v="CMP0223"/>
    <s v="Optimized systemic synergy"/>
    <x v="1"/>
    <s v="Conversion"/>
    <s v="India"/>
    <d v="2024-10-04T00:00:00"/>
    <d v="2024-10-14T00:00:00"/>
    <n v="441016"/>
    <n v="5159"/>
    <n v="284"/>
    <n v="10779.16"/>
    <n v="55531.34"/>
    <n v="1.17"/>
    <n v="5.51"/>
    <n v="2.09"/>
    <n v="37.950000000000003"/>
    <n v="5.15"/>
    <n v="415.17"/>
  </r>
  <r>
    <s v="CMP0224"/>
    <s v="Advanced grid-enabled policy"/>
    <x v="0"/>
    <s v="Retention"/>
    <s v="India"/>
    <d v="2024-11-26T00:00:00"/>
    <d v="2024-12-29T00:00:00"/>
    <n v="200518"/>
    <n v="8301"/>
    <n v="714"/>
    <n v="20316.55"/>
    <n v="130076.71"/>
    <n v="4.1399999999999997"/>
    <n v="8.61"/>
    <n v="2.4500000000000002"/>
    <n v="28.45"/>
    <n v="6.4"/>
    <n v="540.25"/>
  </r>
  <r>
    <s v="CMP0225"/>
    <s v="Profound analyzing adapter"/>
    <x v="4"/>
    <s v="Retention"/>
    <s v="Canada"/>
    <d v="2024-06-27T00:00:00"/>
    <d v="2024-07-11T00:00:00"/>
    <n v="247916"/>
    <n v="5404"/>
    <n v="210"/>
    <n v="10772.41"/>
    <n v="47687.86"/>
    <n v="2.1800000000000002"/>
    <n v="3.89"/>
    <n v="1.99"/>
    <n v="51.3"/>
    <n v="4.43"/>
    <n v="342.69"/>
  </r>
  <r>
    <s v="CMP0226"/>
    <s v="Cross-platform empowering parallelism"/>
    <x v="2"/>
    <s v="Retention"/>
    <s v="Australia"/>
    <d v="2024-06-01T00:00:00"/>
    <d v="2024-07-07T00:00:00"/>
    <n v="116766"/>
    <n v="4296"/>
    <n v="133"/>
    <n v="3052.1"/>
    <n v="6416.46"/>
    <n v="3.68"/>
    <n v="3.11"/>
    <n v="0.71"/>
    <n v="22.95"/>
    <n v="2.1"/>
    <n v="110.23"/>
  </r>
  <r>
    <s v="CMP0227"/>
    <s v="Horizontal context-sensitive process improvement"/>
    <x v="3"/>
    <s v="Retention"/>
    <s v="Australia"/>
    <d v="2024-02-27T00:00:00"/>
    <d v="2024-03-07T00:00:00"/>
    <n v="248850"/>
    <n v="22247"/>
    <n v="2331"/>
    <n v="2057.7199999999998"/>
    <n v="6667.88"/>
    <n v="8.94"/>
    <n v="10.48"/>
    <n v="0.09"/>
    <n v="0.88"/>
    <n v="3.24"/>
    <n v="224.04"/>
  </r>
  <r>
    <s v="CMP0228"/>
    <s v="Switchable uniform moderator"/>
    <x v="1"/>
    <s v="Awareness"/>
    <s v="USA"/>
    <d v="2024-01-25T00:00:00"/>
    <d v="2024-02-16T00:00:00"/>
    <n v="158046"/>
    <n v="1438"/>
    <n v="131"/>
    <n v="11143.06"/>
    <n v="55983.92"/>
    <n v="0.91"/>
    <n v="9.16"/>
    <n v="7.75"/>
    <n v="85.06"/>
    <n v="5.0199999999999996"/>
    <n v="402.41"/>
  </r>
  <r>
    <s v="CMP0229"/>
    <s v="Enhanced bi-directional strategy"/>
    <x v="0"/>
    <s v="Retention"/>
    <s v="Canada"/>
    <d v="2024-05-28T00:00:00"/>
    <d v="2024-06-18T00:00:00"/>
    <n v="172861"/>
    <n v="8055"/>
    <n v="687"/>
    <n v="20521.27"/>
    <n v="53983.46"/>
    <n v="4.66"/>
    <n v="8.5299999999999994"/>
    <n v="2.5499999999999998"/>
    <n v="29.87"/>
    <n v="2.63"/>
    <n v="163.06"/>
  </r>
  <r>
    <s v="CMP0230"/>
    <s v="Diverse bottom-line open architecture"/>
    <x v="3"/>
    <s v="Conversion"/>
    <s v="Australia"/>
    <d v="2024-09-23T00:00:00"/>
    <d v="2024-10-14T00:00:00"/>
    <n v="363481"/>
    <n v="31404"/>
    <n v="5081"/>
    <n v="1566.07"/>
    <n v="9307.41"/>
    <n v="8.64"/>
    <n v="16.18"/>
    <n v="0.05"/>
    <n v="0.31"/>
    <n v="5.94"/>
    <n v="494.32"/>
  </r>
  <r>
    <s v="CMP0231"/>
    <s v="Balanced clear-thinking pricing structure"/>
    <x v="1"/>
    <s v="Conversion"/>
    <s v="UK"/>
    <d v="2024-08-06T00:00:00"/>
    <d v="2024-09-17T00:00:00"/>
    <n v="81959"/>
    <n v="1434"/>
    <n v="131"/>
    <n v="15763.39"/>
    <n v="43949.9"/>
    <n v="1.75"/>
    <n v="9.14"/>
    <n v="10.99"/>
    <n v="120.33"/>
    <n v="2.79"/>
    <n v="178.81"/>
  </r>
  <r>
    <s v="CMP0232"/>
    <s v="Configurable transitional conglomeration"/>
    <x v="1"/>
    <s v="Awareness"/>
    <s v="UK"/>
    <d v="2024-03-17T00:00:00"/>
    <d v="2024-04-12T00:00:00"/>
    <n v="387282"/>
    <n v="7513"/>
    <n v="788"/>
    <n v="9099.75"/>
    <n v="35247.53"/>
    <n v="1.94"/>
    <n v="10.5"/>
    <n v="1.21"/>
    <n v="11.55"/>
    <n v="3.87"/>
    <n v="287.35000000000002"/>
  </r>
  <r>
    <s v="CMP0233"/>
    <s v="Optional grid-enabled budgetary management"/>
    <x v="1"/>
    <s v="Lead Generation"/>
    <s v="Australia"/>
    <d v="2024-08-25T00:00:00"/>
    <d v="2024-09-04T00:00:00"/>
    <n v="298260"/>
    <n v="3608"/>
    <n v="237"/>
    <n v="17720.66"/>
    <n v="46952.36"/>
    <n v="1.21"/>
    <n v="6.58"/>
    <n v="4.91"/>
    <n v="74.77"/>
    <n v="2.65"/>
    <n v="164.96"/>
  </r>
  <r>
    <s v="CMP0234"/>
    <s v="Front-line static orchestration"/>
    <x v="3"/>
    <s v="Retention"/>
    <s v="Canada"/>
    <d v="2024-02-10T00:00:00"/>
    <d v="2024-03-16T00:00:00"/>
    <n v="342178"/>
    <n v="24568"/>
    <n v="2918"/>
    <n v="1647.48"/>
    <n v="5743.42"/>
    <n v="7.18"/>
    <n v="11.88"/>
    <n v="7.0000000000000007E-2"/>
    <n v="0.56000000000000005"/>
    <n v="3.49"/>
    <n v="248.62"/>
  </r>
  <r>
    <s v="CMP0235"/>
    <s v="Total optimizing functionalities"/>
    <x v="4"/>
    <s v="Awareness"/>
    <s v="Australia"/>
    <d v="2024-01-21T00:00:00"/>
    <d v="2024-02-01T00:00:00"/>
    <n v="429891"/>
    <n v="14444"/>
    <n v="242"/>
    <n v="7214.6"/>
    <n v="34069.96"/>
    <n v="3.36"/>
    <n v="1.68"/>
    <n v="0.5"/>
    <n v="29.81"/>
    <n v="4.72"/>
    <n v="372.24"/>
  </r>
  <r>
    <s v="CMP0236"/>
    <s v="Vision-oriented multi-state artificial intelligence"/>
    <x v="2"/>
    <s v="Lead Generation"/>
    <s v="Canada"/>
    <d v="2024-04-07T00:00:00"/>
    <d v="2024-04-21T00:00:00"/>
    <n v="159518"/>
    <n v="6556"/>
    <n v="239"/>
    <n v="17355.3"/>
    <n v="35908.14"/>
    <n v="4.1100000000000003"/>
    <n v="3.66"/>
    <n v="2.65"/>
    <n v="72.62"/>
    <n v="2.0699999999999998"/>
    <n v="106.9"/>
  </r>
  <r>
    <s v="CMP0237"/>
    <s v="Grass-roots multi-state productivity"/>
    <x v="1"/>
    <s v="Lead Generation"/>
    <s v="Australia"/>
    <d v="2024-07-13T00:00:00"/>
    <d v="2024-08-18T00:00:00"/>
    <n v="418977"/>
    <n v="4818"/>
    <n v="549"/>
    <n v="12833.27"/>
    <n v="70452.25"/>
    <n v="1.1499999999999999"/>
    <n v="11.41"/>
    <n v="2.66"/>
    <n v="23.38"/>
    <n v="5.49"/>
    <n v="448.98"/>
  </r>
  <r>
    <s v="CMP0238"/>
    <s v="Quality-focused fresh-thinking budgetary management"/>
    <x v="3"/>
    <s v="Conversion"/>
    <s v="UK"/>
    <d v="2024-08-28T00:00:00"/>
    <d v="2024-09-24T00:00:00"/>
    <n v="187133"/>
    <n v="11527"/>
    <n v="1939"/>
    <n v="2597.02"/>
    <n v="14576.23"/>
    <n v="6.16"/>
    <n v="16.829999999999998"/>
    <n v="0.23"/>
    <n v="1.34"/>
    <n v="5.61"/>
    <n v="461.27"/>
  </r>
  <r>
    <s v="CMP0239"/>
    <s v="Balanced contextually-based archive"/>
    <x v="2"/>
    <s v="Conversion"/>
    <s v="UK"/>
    <d v="2024-10-10T00:00:00"/>
    <d v="2024-11-23T00:00:00"/>
    <n v="267018"/>
    <n v="4379"/>
    <n v="276"/>
    <n v="14118.79"/>
    <n v="29268.1"/>
    <n v="1.64"/>
    <n v="6.32"/>
    <n v="3.22"/>
    <n v="51.16"/>
    <n v="2.0699999999999998"/>
    <n v="107.3"/>
  </r>
  <r>
    <s v="CMP0240"/>
    <s v="Open-architected systemic monitoring"/>
    <x v="3"/>
    <s v="Retention"/>
    <s v="UK"/>
    <d v="2024-10-08T00:00:00"/>
    <d v="2024-11-05T00:00:00"/>
    <n v="129907"/>
    <n v="6729"/>
    <n v="693"/>
    <n v="3064.05"/>
    <n v="9516.2800000000007"/>
    <n v="5.18"/>
    <n v="10.3"/>
    <n v="0.46"/>
    <n v="4.42"/>
    <n v="3.11"/>
    <n v="210.58"/>
  </r>
  <r>
    <s v="CMP0241"/>
    <s v="Universal neutral moderator"/>
    <x v="4"/>
    <s v="Retention"/>
    <s v="Canada"/>
    <d v="2024-09-07T00:00:00"/>
    <d v="2024-09-25T00:00:00"/>
    <n v="291607"/>
    <n v="4782"/>
    <n v="204"/>
    <n v="4615.82"/>
    <n v="24193.41"/>
    <n v="1.64"/>
    <n v="4.28"/>
    <n v="0.97"/>
    <n v="22.63"/>
    <n v="5.24"/>
    <n v="424.14"/>
  </r>
  <r>
    <s v="CMP0242"/>
    <s v="Mandatory transitional matrix"/>
    <x v="3"/>
    <s v="Awareness"/>
    <s v="Australia"/>
    <d v="2024-01-04T00:00:00"/>
    <d v="2024-02-06T00:00:00"/>
    <n v="67733"/>
    <n v="6116"/>
    <n v="534"/>
    <n v="4180.9799999999996"/>
    <n v="9274.73"/>
    <n v="9.0299999999999994"/>
    <n v="8.74"/>
    <n v="0.68"/>
    <n v="7.83"/>
    <n v="2.2200000000000002"/>
    <n v="121.83"/>
  </r>
  <r>
    <s v="CMP0243"/>
    <s v="Customizable composite flexibility"/>
    <x v="2"/>
    <s v="Lead Generation"/>
    <s v="India"/>
    <d v="2024-11-22T00:00:00"/>
    <d v="2024-12-29T00:00:00"/>
    <n v="420760"/>
    <n v="8204"/>
    <n v="253"/>
    <n v="9840.14"/>
    <n v="22357.05"/>
    <n v="1.95"/>
    <n v="3.09"/>
    <n v="1.2"/>
    <n v="38.89"/>
    <n v="2.27"/>
    <n v="127.2"/>
  </r>
  <r>
    <s v="CMP0244"/>
    <s v="Stand-alone executive project"/>
    <x v="1"/>
    <s v="Awareness"/>
    <s v="India"/>
    <d v="2024-05-26T00:00:00"/>
    <d v="2024-06-03T00:00:00"/>
    <n v="329032"/>
    <n v="5725"/>
    <n v="290"/>
    <n v="12470.68"/>
    <n v="40359.279999999999"/>
    <n v="1.74"/>
    <n v="5.08"/>
    <n v="2.1800000000000002"/>
    <n v="43"/>
    <n v="3.24"/>
    <n v="223.63"/>
  </r>
  <r>
    <s v="CMP0245"/>
    <s v="Grass-roots multi-tasking workforce"/>
    <x v="3"/>
    <s v="Retention"/>
    <s v="USA"/>
    <d v="2024-05-09T00:00:00"/>
    <d v="2024-06-07T00:00:00"/>
    <n v="106107"/>
    <n v="10090"/>
    <n v="1335"/>
    <n v="1584.36"/>
    <n v="7587.52"/>
    <n v="9.51"/>
    <n v="13.24"/>
    <n v="0.16"/>
    <n v="1.19"/>
    <n v="4.79"/>
    <n v="378.9"/>
  </r>
  <r>
    <s v="CMP0246"/>
    <s v="Integrated foreground open system"/>
    <x v="4"/>
    <s v="Retention"/>
    <s v="India"/>
    <d v="2024-06-02T00:00:00"/>
    <d v="2024-06-14T00:00:00"/>
    <n v="245586"/>
    <n v="9062"/>
    <n v="281"/>
    <n v="5540.1"/>
    <n v="28462.62"/>
    <n v="3.69"/>
    <n v="3.11"/>
    <n v="0.61"/>
    <n v="19.72"/>
    <n v="5.14"/>
    <n v="413.76"/>
  </r>
  <r>
    <s v="CMP0247"/>
    <s v="Phased reciprocal encoding"/>
    <x v="0"/>
    <s v="Awareness"/>
    <s v="Canada"/>
    <d v="2024-02-12T00:00:00"/>
    <d v="2024-03-21T00:00:00"/>
    <n v="248843"/>
    <n v="9978"/>
    <n v="684"/>
    <n v="17734.96"/>
    <n v="91562.11"/>
    <n v="4.01"/>
    <n v="6.86"/>
    <n v="1.78"/>
    <n v="25.93"/>
    <n v="5.16"/>
    <n v="416.28"/>
  </r>
  <r>
    <s v="CMP0248"/>
    <s v="Right-sized value-added Local Area Network"/>
    <x v="1"/>
    <s v="Conversion"/>
    <s v="Australia"/>
    <d v="2024-10-17T00:00:00"/>
    <d v="2024-11-23T00:00:00"/>
    <n v="499818"/>
    <n v="12295"/>
    <n v="1384"/>
    <n v="18706.439999999999"/>
    <n v="56754.39"/>
    <n v="2.46"/>
    <n v="11.26"/>
    <n v="1.52"/>
    <n v="13.52"/>
    <n v="3.03"/>
    <n v="203.39"/>
  </r>
  <r>
    <s v="CMP0249"/>
    <s v="Customizable 3rdgeneration circuit"/>
    <x v="4"/>
    <s v="Awareness"/>
    <s v="India"/>
    <d v="2024-06-10T00:00:00"/>
    <d v="2024-06-18T00:00:00"/>
    <n v="408837"/>
    <n v="14759"/>
    <n v="686"/>
    <n v="9543.8700000000008"/>
    <n v="20500.79"/>
    <n v="3.61"/>
    <n v="4.6500000000000004"/>
    <n v="0.65"/>
    <n v="13.91"/>
    <n v="2.15"/>
    <n v="114.81"/>
  </r>
  <r>
    <s v="CMP0250"/>
    <s v="Vision-oriented 4thgeneration support"/>
    <x v="2"/>
    <s v="Lead Generation"/>
    <s v="Canada"/>
    <d v="2024-10-03T00:00:00"/>
    <d v="2024-10-31T00:00:00"/>
    <n v="90337"/>
    <n v="2168"/>
    <n v="104"/>
    <n v="11500.44"/>
    <n v="66961.210000000006"/>
    <n v="2.4"/>
    <n v="4.82"/>
    <n v="5.3"/>
    <n v="110.58"/>
    <n v="5.82"/>
    <n v="482.25"/>
  </r>
  <r>
    <s v="CMP0251"/>
    <s v="Team-oriented bi-directional moratorium"/>
    <x v="1"/>
    <s v="Lead Generation"/>
    <s v="India"/>
    <d v="2024-02-08T00:00:00"/>
    <d v="2024-03-07T00:00:00"/>
    <n v="312559"/>
    <n v="6469"/>
    <n v="479"/>
    <n v="5562.97"/>
    <n v="16937.29"/>
    <n v="2.0699999999999998"/>
    <n v="7.42"/>
    <n v="0.86"/>
    <n v="11.61"/>
    <n v="3.04"/>
    <n v="204.46"/>
  </r>
  <r>
    <s v="CMP0252"/>
    <s v="Persistent zero administration strategy"/>
    <x v="3"/>
    <s v="Retention"/>
    <s v="UK"/>
    <d v="2024-10-10T00:00:00"/>
    <d v="2024-11-10T00:00:00"/>
    <n v="65532"/>
    <n v="5111"/>
    <n v="809"/>
    <n v="2527.48"/>
    <n v="7649.73"/>
    <n v="7.8"/>
    <n v="15.84"/>
    <n v="0.49"/>
    <n v="3.12"/>
    <n v="3.03"/>
    <n v="202.66"/>
  </r>
  <r>
    <s v="CMP0253"/>
    <s v="Face-to-face high-level analyzer"/>
    <x v="1"/>
    <s v="Lead Generation"/>
    <s v="Australia"/>
    <d v="2024-02-07T00:00:00"/>
    <d v="2024-02-19T00:00:00"/>
    <n v="396382"/>
    <n v="5747"/>
    <n v="598"/>
    <n v="8726.07"/>
    <n v="27129.56"/>
    <n v="1.45"/>
    <n v="10.41"/>
    <n v="1.52"/>
    <n v="14.59"/>
    <n v="3.11"/>
    <n v="210.9"/>
  </r>
  <r>
    <s v="CMP0254"/>
    <s v="Phased actuating synergy"/>
    <x v="4"/>
    <s v="Lead Generation"/>
    <s v="Canada"/>
    <d v="2024-02-16T00:00:00"/>
    <d v="2024-02-23T00:00:00"/>
    <n v="423123"/>
    <n v="13709"/>
    <n v="279"/>
    <n v="7370.27"/>
    <n v="26703.599999999999"/>
    <n v="3.24"/>
    <n v="2.04"/>
    <n v="0.54"/>
    <n v="26.42"/>
    <n v="3.62"/>
    <n v="262.32"/>
  </r>
  <r>
    <s v="CMP0255"/>
    <s v="De-engineered client-server project"/>
    <x v="4"/>
    <s v="Retention"/>
    <s v="UK"/>
    <d v="2024-10-11T00:00:00"/>
    <d v="2024-11-19T00:00:00"/>
    <n v="449164"/>
    <n v="8534"/>
    <n v="167"/>
    <n v="4842.3999999999996"/>
    <n v="19465.46"/>
    <n v="1.9"/>
    <n v="1.96"/>
    <n v="0.56999999999999995"/>
    <n v="29"/>
    <n v="4.0199999999999996"/>
    <n v="301.98"/>
  </r>
  <r>
    <s v="CMP0256"/>
    <s v="Realigned bottom-line approach"/>
    <x v="1"/>
    <s v="Awareness"/>
    <s v="India"/>
    <d v="2024-07-16T00:00:00"/>
    <d v="2024-07-23T00:00:00"/>
    <n v="96986"/>
    <n v="1357"/>
    <n v="76"/>
    <n v="13568.7"/>
    <n v="46946.84"/>
    <n v="1.4"/>
    <n v="5.65"/>
    <n v="10"/>
    <n v="178.54"/>
    <n v="3.46"/>
    <n v="245.99"/>
  </r>
  <r>
    <s v="CMP0257"/>
    <s v="Focused mobile project"/>
    <x v="4"/>
    <s v="Retention"/>
    <s v="Canada"/>
    <d v="2024-10-19T00:00:00"/>
    <d v="2024-11-28T00:00:00"/>
    <n v="458509"/>
    <n v="6510"/>
    <n v="302"/>
    <n v="13815.09"/>
    <n v="88441.15"/>
    <n v="1.42"/>
    <n v="4.6500000000000004"/>
    <n v="2.12"/>
    <n v="45.75"/>
    <n v="6.4"/>
    <n v="540.17999999999995"/>
  </r>
  <r>
    <s v="CMP0258"/>
    <s v="User-centric exuding capacity"/>
    <x v="2"/>
    <s v="Retention"/>
    <s v="USA"/>
    <d v="2024-05-21T00:00:00"/>
    <d v="2024-06-23T00:00:00"/>
    <n v="122792"/>
    <n v="2836"/>
    <n v="94"/>
    <n v="5189.0200000000004"/>
    <n v="14282.43"/>
    <n v="2.31"/>
    <n v="3.34"/>
    <n v="1.83"/>
    <n v="55.2"/>
    <n v="2.75"/>
    <n v="175.24"/>
  </r>
  <r>
    <s v="CMP0259"/>
    <s v="Programmable impactful focus group"/>
    <x v="4"/>
    <s v="Retention"/>
    <s v="India"/>
    <d v="2024-04-10T00:00:00"/>
    <d v="2024-05-16T00:00:00"/>
    <n v="239333"/>
    <n v="4427"/>
    <n v="104"/>
    <n v="10312.92"/>
    <n v="48183.29"/>
    <n v="1.85"/>
    <n v="2.36"/>
    <n v="2.33"/>
    <n v="99.16"/>
    <n v="4.67"/>
    <n v="367.21"/>
  </r>
  <r>
    <s v="CMP0260"/>
    <s v="Distributed multimedia conglomeration"/>
    <x v="0"/>
    <s v="Lead Generation"/>
    <s v="UK"/>
    <d v="2024-06-17T00:00:00"/>
    <d v="2024-07-22T00:00:00"/>
    <n v="53548"/>
    <n v="3373"/>
    <n v="202"/>
    <n v="17403.84"/>
    <n v="97780.76"/>
    <n v="6.3"/>
    <n v="5.99"/>
    <n v="5.16"/>
    <n v="86.16"/>
    <n v="5.62"/>
    <n v="461.83"/>
  </r>
  <r>
    <s v="CMP0261"/>
    <s v="Multi-layered fresh-thinking circuit"/>
    <x v="4"/>
    <s v="Retention"/>
    <s v="Australia"/>
    <d v="2024-03-31T00:00:00"/>
    <d v="2024-05-02T00:00:00"/>
    <n v="121368"/>
    <n v="2403"/>
    <n v="86"/>
    <n v="11191.15"/>
    <n v="46505.31"/>
    <n v="1.98"/>
    <n v="3.61"/>
    <n v="4.66"/>
    <n v="130.13"/>
    <n v="4.16"/>
    <n v="315.55"/>
  </r>
  <r>
    <s v="CMP0262"/>
    <s v="Triple-buffered bottom-line instruction set"/>
    <x v="4"/>
    <s v="Conversion"/>
    <s v="Canada"/>
    <d v="2024-07-05T00:00:00"/>
    <d v="2024-07-19T00:00:00"/>
    <n v="351926"/>
    <n v="11367"/>
    <n v="300"/>
    <n v="6003.75"/>
    <n v="33239.160000000003"/>
    <n v="3.23"/>
    <n v="2.64"/>
    <n v="0.53"/>
    <n v="20.010000000000002"/>
    <n v="5.54"/>
    <n v="453.64"/>
  </r>
  <r>
    <s v="CMP0263"/>
    <s v="Cloned dedicated solution"/>
    <x v="3"/>
    <s v="Lead Generation"/>
    <s v="Australia"/>
    <d v="2024-04-17T00:00:00"/>
    <d v="2024-05-22T00:00:00"/>
    <n v="336066"/>
    <n v="17072"/>
    <n v="2676"/>
    <n v="621.12"/>
    <n v="3274.83"/>
    <n v="5.08"/>
    <n v="15.68"/>
    <n v="0.04"/>
    <n v="0.23"/>
    <n v="5.27"/>
    <n v="427.25"/>
  </r>
  <r>
    <s v="CMP0264"/>
    <s v="Multi-lateral user-facing neural-net"/>
    <x v="4"/>
    <s v="Awareness"/>
    <s v="Canada"/>
    <d v="2024-08-04T00:00:00"/>
    <d v="2024-09-04T00:00:00"/>
    <n v="402834"/>
    <n v="10070"/>
    <n v="374"/>
    <n v="5525.26"/>
    <n v="27427.3"/>
    <n v="2.5"/>
    <n v="3.72"/>
    <n v="0.55000000000000004"/>
    <n v="14.77"/>
    <n v="4.96"/>
    <n v="396.4"/>
  </r>
  <r>
    <s v="CMP0265"/>
    <s v="Cross-group discrete projection"/>
    <x v="0"/>
    <s v="Retention"/>
    <s v="Australia"/>
    <d v="2024-08-02T00:00:00"/>
    <d v="2024-09-12T00:00:00"/>
    <n v="301257"/>
    <n v="14550"/>
    <n v="1049"/>
    <n v="23469.919999999998"/>
    <n v="138785.89000000001"/>
    <n v="4.83"/>
    <n v="7.21"/>
    <n v="1.61"/>
    <n v="22.37"/>
    <n v="5.91"/>
    <n v="491.34"/>
  </r>
  <r>
    <s v="CMP0266"/>
    <s v="Optimized value-added infrastructure"/>
    <x v="0"/>
    <s v="Conversion"/>
    <s v="Australia"/>
    <d v="2024-06-30T00:00:00"/>
    <d v="2024-07-17T00:00:00"/>
    <n v="361332"/>
    <n v="18247"/>
    <n v="822"/>
    <n v="20379.080000000002"/>
    <n v="101064.08"/>
    <n v="5.05"/>
    <n v="4.51"/>
    <n v="1.1200000000000001"/>
    <n v="24.79"/>
    <n v="4.96"/>
    <n v="395.92"/>
  </r>
  <r>
    <s v="CMP0267"/>
    <s v="Switchable empowering focus group"/>
    <x v="3"/>
    <s v="Awareness"/>
    <s v="Australia"/>
    <d v="2024-08-08T00:00:00"/>
    <d v="2024-08-21T00:00:00"/>
    <n v="388182"/>
    <n v="31287"/>
    <n v="3754"/>
    <n v="3887.07"/>
    <n v="24666.28"/>
    <n v="8.06"/>
    <n v="12"/>
    <n v="0.12"/>
    <n v="1.04"/>
    <n v="6.35"/>
    <n v="534.57000000000005"/>
  </r>
  <r>
    <s v="CMP0268"/>
    <s v="Object-based value-added protocol"/>
    <x v="0"/>
    <s v="Awareness"/>
    <s v="UK"/>
    <d v="2024-08-16T00:00:00"/>
    <d v="2024-09-15T00:00:00"/>
    <n v="166392"/>
    <n v="7554"/>
    <n v="537"/>
    <n v="16610.37"/>
    <n v="76217.67"/>
    <n v="4.54"/>
    <n v="7.11"/>
    <n v="2.2000000000000002"/>
    <n v="30.93"/>
    <n v="4.59"/>
    <n v="358.86"/>
  </r>
  <r>
    <s v="CMP0269"/>
    <s v="Reverse-engineered eco-centric neural-net"/>
    <x v="1"/>
    <s v="Retention"/>
    <s v="Australia"/>
    <d v="2024-07-31T00:00:00"/>
    <d v="2024-08-12T00:00:00"/>
    <n v="411987"/>
    <n v="6797"/>
    <n v="503"/>
    <n v="4393"/>
    <n v="10852.78"/>
    <n v="1.65"/>
    <n v="7.41"/>
    <n v="0.65"/>
    <n v="8.73"/>
    <n v="2.4700000000000002"/>
    <n v="147.05000000000001"/>
  </r>
  <r>
    <s v="CMP0270"/>
    <s v="Sharable executive core"/>
    <x v="0"/>
    <s v="Lead Generation"/>
    <s v="UK"/>
    <d v="2024-02-19T00:00:00"/>
    <d v="2024-03-25T00:00:00"/>
    <n v="213520"/>
    <n v="8263"/>
    <n v="719"/>
    <n v="15422.3"/>
    <n v="55016.76"/>
    <n v="3.87"/>
    <n v="8.7100000000000009"/>
    <n v="1.87"/>
    <n v="21.45"/>
    <n v="3.57"/>
    <n v="256.74"/>
  </r>
  <r>
    <s v="CMP0271"/>
    <s v="Intuitive fault-tolerant definition"/>
    <x v="1"/>
    <s v="Conversion"/>
    <s v="India"/>
    <d v="2024-02-25T00:00:00"/>
    <d v="2024-03-13T00:00:00"/>
    <n v="207424"/>
    <n v="1825"/>
    <n v="182"/>
    <n v="4361.3599999999997"/>
    <n v="15456.01"/>
    <n v="0.88"/>
    <n v="9.98"/>
    <n v="2.39"/>
    <n v="23.96"/>
    <n v="3.54"/>
    <n v="254.39"/>
  </r>
  <r>
    <s v="CMP0272"/>
    <s v="Multi-layered homogeneous function"/>
    <x v="2"/>
    <s v="Lead Generation"/>
    <s v="Australia"/>
    <d v="2024-11-18T00:00:00"/>
    <d v="2024-12-06T00:00:00"/>
    <n v="133957"/>
    <n v="3335"/>
    <n v="137"/>
    <n v="9930.81"/>
    <n v="55512.25"/>
    <n v="2.4900000000000002"/>
    <n v="4.13"/>
    <n v="2.98"/>
    <n v="72.489999999999995"/>
    <n v="5.59"/>
    <n v="458.99"/>
  </r>
  <r>
    <s v="CMP0273"/>
    <s v="Customizable tangible knowledge user"/>
    <x v="2"/>
    <s v="Retention"/>
    <s v="Canada"/>
    <d v="2024-01-03T00:00:00"/>
    <d v="2024-01-23T00:00:00"/>
    <n v="65305"/>
    <n v="2422"/>
    <n v="155"/>
    <n v="9743.6299999999992"/>
    <n v="38321.58"/>
    <n v="3.71"/>
    <n v="6.42"/>
    <n v="4.0199999999999996"/>
    <n v="62.86"/>
    <n v="3.93"/>
    <n v="293.3"/>
  </r>
  <r>
    <s v="CMP0274"/>
    <s v="Seamless discrete contingency"/>
    <x v="2"/>
    <s v="Conversion"/>
    <s v="India"/>
    <d v="2024-08-22T00:00:00"/>
    <d v="2024-09-05T00:00:00"/>
    <n v="352696"/>
    <n v="6383"/>
    <n v="405"/>
    <n v="5804.4"/>
    <n v="20123.46"/>
    <n v="1.81"/>
    <n v="6.36"/>
    <n v="0.91"/>
    <n v="14.33"/>
    <n v="3.47"/>
    <n v="246.69"/>
  </r>
  <r>
    <s v="CMP0275"/>
    <s v="Versatile holistic capacity"/>
    <x v="4"/>
    <s v="Retention"/>
    <s v="Australia"/>
    <d v="2024-06-29T00:00:00"/>
    <d v="2024-08-04T00:00:00"/>
    <n v="385076"/>
    <n v="7740"/>
    <n v="221"/>
    <n v="7406.8"/>
    <n v="18621.02"/>
    <n v="2.0099999999999998"/>
    <n v="2.86"/>
    <n v="0.96"/>
    <n v="33.51"/>
    <n v="2.5099999999999998"/>
    <n v="151.4"/>
  </r>
  <r>
    <s v="CMP0276"/>
    <s v="Persistent secondary budgetary management"/>
    <x v="3"/>
    <s v="Lead Generation"/>
    <s v="UK"/>
    <d v="2024-02-29T00:00:00"/>
    <d v="2024-03-18T00:00:00"/>
    <n v="372166"/>
    <n v="28061"/>
    <n v="4130"/>
    <n v="1909.34"/>
    <n v="5868.5"/>
    <n v="7.54"/>
    <n v="14.72"/>
    <n v="7.0000000000000007E-2"/>
    <n v="0.46"/>
    <n v="3.07"/>
    <n v="207.36"/>
  </r>
  <r>
    <s v="CMP0277"/>
    <s v="Optimized demand-driven standardization"/>
    <x v="4"/>
    <s v="Lead Generation"/>
    <s v="Australia"/>
    <d v="2024-11-21T00:00:00"/>
    <d v="2025-01-01T00:00:00"/>
    <n v="253666"/>
    <n v="5808"/>
    <n v="114"/>
    <n v="7296.37"/>
    <n v="20691.71"/>
    <n v="2.29"/>
    <n v="1.98"/>
    <n v="1.26"/>
    <n v="64"/>
    <n v="2.84"/>
    <n v="183.59"/>
  </r>
  <r>
    <s v="CMP0278"/>
    <s v="Cross-platform bi-directional protocol"/>
    <x v="2"/>
    <s v="Lead Generation"/>
    <s v="Canada"/>
    <d v="2024-07-02T00:00:00"/>
    <d v="2024-07-09T00:00:00"/>
    <n v="201432"/>
    <n v="3867"/>
    <n v="138"/>
    <n v="9765.01"/>
    <n v="21885.84"/>
    <n v="1.92"/>
    <n v="3.57"/>
    <n v="2.5299999999999998"/>
    <n v="70.760000000000005"/>
    <n v="2.2400000000000002"/>
    <n v="124.13"/>
  </r>
  <r>
    <s v="CMP0279"/>
    <s v="Realigned non-volatile knowledge user"/>
    <x v="1"/>
    <s v="Lead Generation"/>
    <s v="USA"/>
    <d v="2024-09-08T00:00:00"/>
    <d v="2024-10-11T00:00:00"/>
    <n v="477407"/>
    <n v="6922"/>
    <n v="618"/>
    <n v="14449.12"/>
    <n v="55500.58"/>
    <n v="1.45"/>
    <n v="8.93"/>
    <n v="2.09"/>
    <n v="23.38"/>
    <n v="3.84"/>
    <n v="284.11"/>
  </r>
  <r>
    <s v="CMP0280"/>
    <s v="User-centric context-sensitive adapter"/>
    <x v="1"/>
    <s v="Retention"/>
    <s v="USA"/>
    <d v="2024-04-25T00:00:00"/>
    <d v="2024-06-05T00:00:00"/>
    <n v="93343"/>
    <n v="1642"/>
    <n v="173"/>
    <n v="7528.47"/>
    <n v="16164.59"/>
    <n v="1.76"/>
    <n v="10.57"/>
    <n v="4.58"/>
    <n v="43.52"/>
    <n v="2.15"/>
    <n v="114.71"/>
  </r>
  <r>
    <s v="CMP0281"/>
    <s v="Reactive holistic groupware"/>
    <x v="4"/>
    <s v="Lead Generation"/>
    <s v="Canada"/>
    <d v="2024-02-28T00:00:00"/>
    <d v="2024-03-23T00:00:00"/>
    <n v="346563"/>
    <n v="10847"/>
    <n v="453"/>
    <n v="9371.58"/>
    <n v="23517.51"/>
    <n v="3.13"/>
    <n v="4.18"/>
    <n v="0.86"/>
    <n v="20.69"/>
    <n v="2.5099999999999998"/>
    <n v="150.94"/>
  </r>
  <r>
    <s v="CMP0282"/>
    <s v="Reactive high-level forecast"/>
    <x v="3"/>
    <s v="Conversion"/>
    <s v="Australia"/>
    <d v="2024-08-05T00:00:00"/>
    <d v="2024-08-18T00:00:00"/>
    <n v="481285"/>
    <n v="41101"/>
    <n v="6411"/>
    <n v="2486.15"/>
    <n v="7417.28"/>
    <n v="8.5399999999999991"/>
    <n v="15.6"/>
    <n v="0.06"/>
    <n v="0.39"/>
    <n v="2.98"/>
    <n v="198.34"/>
  </r>
  <r>
    <s v="CMP0283"/>
    <s v="Multi-channeled motivating complexity"/>
    <x v="2"/>
    <s v="Conversion"/>
    <s v="India"/>
    <d v="2024-03-01T00:00:00"/>
    <d v="2024-03-23T00:00:00"/>
    <n v="285789"/>
    <n v="6544"/>
    <n v="412"/>
    <n v="4304.75"/>
    <n v="25371.37"/>
    <n v="2.29"/>
    <n v="6.31"/>
    <n v="0.66"/>
    <n v="10.45"/>
    <n v="5.89"/>
    <n v="489.38"/>
  </r>
  <r>
    <s v="CMP0284"/>
    <s v="Object-based optimizing archive"/>
    <x v="2"/>
    <s v="Conversion"/>
    <s v="Australia"/>
    <d v="2024-01-31T00:00:00"/>
    <d v="2024-03-14T00:00:00"/>
    <n v="381754"/>
    <n v="10612"/>
    <n v="539"/>
    <n v="14772.74"/>
    <n v="83626.77"/>
    <n v="2.78"/>
    <n v="5.08"/>
    <n v="1.39"/>
    <n v="27.41"/>
    <n v="5.66"/>
    <n v="466.09"/>
  </r>
  <r>
    <s v="CMP0285"/>
    <s v="Advanced analyzing monitoring"/>
    <x v="4"/>
    <s v="Conversion"/>
    <s v="Australia"/>
    <d v="2024-09-20T00:00:00"/>
    <d v="2024-10-03T00:00:00"/>
    <n v="332469"/>
    <n v="5452"/>
    <n v="268"/>
    <n v="6157.93"/>
    <n v="28186.76"/>
    <n v="1.64"/>
    <n v="4.93"/>
    <n v="1.1299999999999999"/>
    <n v="22.98"/>
    <n v="4.58"/>
    <n v="357.73"/>
  </r>
  <r>
    <s v="CMP0286"/>
    <s v="Visionary modular methodology"/>
    <x v="2"/>
    <s v="Retention"/>
    <s v="India"/>
    <d v="2024-06-13T00:00:00"/>
    <d v="2024-07-05T00:00:00"/>
    <n v="195397"/>
    <n v="8011"/>
    <n v="210"/>
    <n v="15991.18"/>
    <n v="49949.21"/>
    <n v="4.0999999999999996"/>
    <n v="2.63"/>
    <n v="2"/>
    <n v="76.150000000000006"/>
    <n v="3.12"/>
    <n v="212.35"/>
  </r>
  <r>
    <s v="CMP0287"/>
    <s v="Multi-channeled high-level standardization"/>
    <x v="1"/>
    <s v="Retention"/>
    <s v="USA"/>
    <d v="2024-02-17T00:00:00"/>
    <d v="2024-03-20T00:00:00"/>
    <n v="352737"/>
    <n v="6631"/>
    <n v="622"/>
    <n v="10002.76"/>
    <n v="23404.69"/>
    <n v="1.88"/>
    <n v="9.39"/>
    <n v="1.51"/>
    <n v="16.079999999999998"/>
    <n v="2.34"/>
    <n v="133.97999999999999"/>
  </r>
  <r>
    <s v="CMP0288"/>
    <s v="Sharable non-volatile complexity"/>
    <x v="3"/>
    <s v="Conversion"/>
    <s v="UK"/>
    <d v="2024-02-17T00:00:00"/>
    <d v="2024-03-24T00:00:00"/>
    <n v="288391"/>
    <n v="27973"/>
    <n v="3152"/>
    <n v="511.13"/>
    <n v="2802.84"/>
    <n v="9.6999999999999993"/>
    <n v="11.27"/>
    <n v="0.02"/>
    <n v="0.16"/>
    <n v="5.48"/>
    <n v="448.36"/>
  </r>
  <r>
    <s v="CMP0289"/>
    <s v="Distributed impactful methodology"/>
    <x v="4"/>
    <s v="Awareness"/>
    <s v="Australia"/>
    <d v="2024-05-25T00:00:00"/>
    <d v="2024-06-22T00:00:00"/>
    <n v="258517"/>
    <n v="4575"/>
    <n v="137"/>
    <n v="5148.1400000000003"/>
    <n v="16517.37"/>
    <n v="1.77"/>
    <n v="3"/>
    <n v="1.1299999999999999"/>
    <n v="37.58"/>
    <n v="3.21"/>
    <n v="220.84"/>
  </r>
  <r>
    <s v="CMP0290"/>
    <s v="Optimized systematic flexibility"/>
    <x v="3"/>
    <s v="Lead Generation"/>
    <s v="Australia"/>
    <d v="2024-02-20T00:00:00"/>
    <d v="2024-03-27T00:00:00"/>
    <n v="496914"/>
    <n v="34336"/>
    <n v="3928"/>
    <n v="3571.48"/>
    <n v="7920.98"/>
    <n v="6.91"/>
    <n v="11.44"/>
    <n v="0.1"/>
    <n v="0.91"/>
    <n v="2.2200000000000002"/>
    <n v="121.78"/>
  </r>
  <r>
    <s v="CMP0291"/>
    <s v="Ameliorated zero-defect Local Area Network"/>
    <x v="0"/>
    <s v="Awareness"/>
    <s v="USA"/>
    <d v="2024-03-08T00:00:00"/>
    <d v="2024-04-03T00:00:00"/>
    <n v="281360"/>
    <n v="12182"/>
    <n v="1212"/>
    <n v="13555.99"/>
    <n v="87851.26"/>
    <n v="4.33"/>
    <n v="9.9499999999999993"/>
    <n v="1.1100000000000001"/>
    <n v="11.18"/>
    <n v="6.48"/>
    <n v="548.05999999999995"/>
  </r>
  <r>
    <s v="CMP0292"/>
    <s v="Multi-channeled dedicated functionalities"/>
    <x v="2"/>
    <s v="Conversion"/>
    <s v="India"/>
    <d v="2024-01-27T00:00:00"/>
    <d v="2024-02-28T00:00:00"/>
    <n v="393192"/>
    <n v="10144"/>
    <n v="244"/>
    <n v="12967.63"/>
    <n v="63802.04"/>
    <n v="2.58"/>
    <n v="2.41"/>
    <n v="1.28"/>
    <n v="53.15"/>
    <n v="4.92"/>
    <n v="392.01"/>
  </r>
  <r>
    <s v="CMP0293"/>
    <s v="Organic 4thgeneration capability"/>
    <x v="4"/>
    <s v="Lead Generation"/>
    <s v="Canada"/>
    <d v="2024-10-30T00:00:00"/>
    <d v="2024-11-20T00:00:00"/>
    <n v="393663"/>
    <n v="5668"/>
    <n v="103"/>
    <n v="5167.76"/>
    <n v="12147.98"/>
    <n v="1.44"/>
    <n v="1.83"/>
    <n v="0.91"/>
    <n v="50.17"/>
    <n v="2.35"/>
    <n v="135.07"/>
  </r>
  <r>
    <s v="CMP0294"/>
    <s v="Stand-alone incremental instruction set"/>
    <x v="3"/>
    <s v="Retention"/>
    <s v="India"/>
    <d v="2024-03-08T00:00:00"/>
    <d v="2024-04-14T00:00:00"/>
    <n v="54227"/>
    <n v="4430"/>
    <n v="716"/>
    <n v="4946.7"/>
    <n v="19294.169999999998"/>
    <n v="8.17"/>
    <n v="16.170000000000002"/>
    <n v="1.1200000000000001"/>
    <n v="6.91"/>
    <n v="3.9"/>
    <n v="290.04000000000002"/>
  </r>
  <r>
    <s v="CMP0295"/>
    <s v="Inverse human-resource hardware"/>
    <x v="0"/>
    <s v="Lead Generation"/>
    <s v="Canada"/>
    <d v="2024-03-11T00:00:00"/>
    <d v="2024-04-11T00:00:00"/>
    <n v="96835"/>
    <n v="5248"/>
    <n v="241"/>
    <n v="11267.03"/>
    <n v="67201.64"/>
    <n v="5.42"/>
    <n v="4.6100000000000003"/>
    <n v="2.15"/>
    <n v="46.75"/>
    <n v="5.96"/>
    <n v="496.45"/>
  </r>
  <r>
    <s v="CMP0296"/>
    <s v="De-engineered empowering groupware"/>
    <x v="2"/>
    <s v="Lead Generation"/>
    <s v="India"/>
    <d v="2024-04-19T00:00:00"/>
    <d v="2024-05-05T00:00:00"/>
    <n v="328139"/>
    <n v="10467"/>
    <n v="528"/>
    <n v="5461.75"/>
    <n v="19554.95"/>
    <n v="3.19"/>
    <n v="5.05"/>
    <n v="0.52"/>
    <n v="10.34"/>
    <n v="3.58"/>
    <n v="258.02999999999997"/>
  </r>
  <r>
    <s v="CMP0297"/>
    <s v="Re-engineered modular instruction set"/>
    <x v="1"/>
    <s v="Retention"/>
    <s v="USA"/>
    <d v="2024-06-28T00:00:00"/>
    <d v="2024-08-01T00:00:00"/>
    <n v="95449"/>
    <n v="2214"/>
    <n v="132"/>
    <n v="5970.52"/>
    <n v="31554.44"/>
    <n v="2.3199999999999998"/>
    <n v="5.98"/>
    <n v="2.7"/>
    <n v="45.23"/>
    <n v="5.29"/>
    <n v="428.5"/>
  </r>
  <r>
    <s v="CMP0298"/>
    <s v="Diverse cohesive matrix"/>
    <x v="4"/>
    <s v="Lead Generation"/>
    <s v="USA"/>
    <d v="2024-05-25T00:00:00"/>
    <d v="2024-06-02T00:00:00"/>
    <n v="195210"/>
    <n v="5622"/>
    <n v="133"/>
    <n v="10012.49"/>
    <n v="52518.6"/>
    <n v="2.88"/>
    <n v="2.37"/>
    <n v="1.78"/>
    <n v="75.28"/>
    <n v="5.25"/>
    <n v="424.53"/>
  </r>
  <r>
    <s v="CMP0299"/>
    <s v="Synchronized even-keeled encryption"/>
    <x v="4"/>
    <s v="Lead Generation"/>
    <s v="Australia"/>
    <d v="2024-05-02T00:00:00"/>
    <d v="2024-06-09T00:00:00"/>
    <n v="368204"/>
    <n v="9278"/>
    <n v="382"/>
    <n v="6194.28"/>
    <n v="13909.63"/>
    <n v="2.52"/>
    <n v="4.12"/>
    <n v="0.67"/>
    <n v="16.22"/>
    <n v="2.25"/>
    <n v="124.56"/>
  </r>
  <r>
    <s v="CMP0300"/>
    <s v="Profit-focused incremental success"/>
    <x v="1"/>
    <s v="Awareness"/>
    <s v="USA"/>
    <d v="2024-07-03T00:00:00"/>
    <d v="2024-07-30T00:00:00"/>
    <n v="311925"/>
    <n v="5864"/>
    <n v="322"/>
    <n v="18219.59"/>
    <n v="37428.53"/>
    <n v="1.88"/>
    <n v="5.5"/>
    <n v="3.11"/>
    <n v="56.58"/>
    <n v="2.0499999999999998"/>
    <n v="105.43"/>
  </r>
  <r>
    <s v="CMP0301"/>
    <s v="Synergized radical website"/>
    <x v="2"/>
    <s v="Retention"/>
    <s v="Australia"/>
    <d v="2024-02-07T00:00:00"/>
    <d v="2024-02-15T00:00:00"/>
    <n v="270653"/>
    <n v="7036"/>
    <n v="380"/>
    <n v="14440.89"/>
    <n v="90905.96"/>
    <n v="2.6"/>
    <n v="5.41"/>
    <n v="2.0499999999999998"/>
    <n v="38"/>
    <n v="6.3"/>
    <n v="529.5"/>
  </r>
  <r>
    <s v="CMP0302"/>
    <s v="Object-based uniform Graphical User Interface"/>
    <x v="3"/>
    <s v="Awareness"/>
    <s v="India"/>
    <d v="2024-05-26T00:00:00"/>
    <d v="2024-07-04T00:00:00"/>
    <n v="187460"/>
    <n v="9916"/>
    <n v="1708"/>
    <n v="4769.0600000000004"/>
    <n v="18078.97"/>
    <n v="5.29"/>
    <n v="17.23"/>
    <n v="0.48"/>
    <n v="2.79"/>
    <n v="3.79"/>
    <n v="279.08999999999997"/>
  </r>
  <r>
    <s v="CMP0303"/>
    <s v="Centralized tangible conglomeration"/>
    <x v="1"/>
    <s v="Retention"/>
    <s v="Canada"/>
    <d v="2024-02-10T00:00:00"/>
    <d v="2024-03-20T00:00:00"/>
    <n v="93215"/>
    <n v="1761"/>
    <n v="154"/>
    <n v="6442.89"/>
    <n v="15309.51"/>
    <n v="1.89"/>
    <n v="8.76"/>
    <n v="3.66"/>
    <n v="41.84"/>
    <n v="2.38"/>
    <n v="137.62"/>
  </r>
  <r>
    <s v="CMP0304"/>
    <s v="Innovative contextually-based initiative"/>
    <x v="2"/>
    <s v="Lead Generation"/>
    <s v="Australia"/>
    <d v="2024-02-03T00:00:00"/>
    <d v="2024-02-29T00:00:00"/>
    <n v="221311"/>
    <n v="5909"/>
    <n v="305"/>
    <n v="15517.9"/>
    <n v="78594.289999999994"/>
    <n v="2.67"/>
    <n v="5.17"/>
    <n v="2.63"/>
    <n v="50.88"/>
    <n v="5.0599999999999996"/>
    <n v="406.48"/>
  </r>
  <r>
    <s v="CMP0305"/>
    <s v="Secured background complexity"/>
    <x v="1"/>
    <s v="Lead Generation"/>
    <s v="India"/>
    <d v="2024-06-07T00:00:00"/>
    <d v="2024-06-25T00:00:00"/>
    <n v="178177"/>
    <n v="1692"/>
    <n v="136"/>
    <n v="11253.95"/>
    <n v="53340.86"/>
    <n v="0.95"/>
    <n v="8.0399999999999991"/>
    <n v="6.65"/>
    <n v="82.75"/>
    <n v="4.74"/>
    <n v="373.97"/>
  </r>
  <r>
    <s v="CMP0306"/>
    <s v="Switchable transitional synergy"/>
    <x v="0"/>
    <s v="Awareness"/>
    <s v="USA"/>
    <d v="2024-05-12T00:00:00"/>
    <d v="2024-05-29T00:00:00"/>
    <n v="417787"/>
    <n v="10653"/>
    <n v="743"/>
    <n v="11934.1"/>
    <n v="51644.85"/>
    <n v="2.5499999999999998"/>
    <n v="6.98"/>
    <n v="1.1200000000000001"/>
    <n v="16.059999999999999"/>
    <n v="4.33"/>
    <n v="332.75"/>
  </r>
  <r>
    <s v="CMP0307"/>
    <s v="Public-key methodical Graphic Interface"/>
    <x v="4"/>
    <s v="Lead Generation"/>
    <s v="UK"/>
    <d v="2024-05-19T00:00:00"/>
    <d v="2024-06-28T00:00:00"/>
    <n v="434269"/>
    <n v="15199"/>
    <n v="638"/>
    <n v="2866.95"/>
    <n v="16146.62"/>
    <n v="3.5"/>
    <n v="4.2"/>
    <n v="0.19"/>
    <n v="4.49"/>
    <n v="5.63"/>
    <n v="463.2"/>
  </r>
  <r>
    <s v="CMP0308"/>
    <s v="Implemented mobile service-desk"/>
    <x v="0"/>
    <s v="Conversion"/>
    <s v="Australia"/>
    <d v="2024-10-17T00:00:00"/>
    <d v="2024-11-03T00:00:00"/>
    <n v="379007"/>
    <n v="10650"/>
    <n v="716"/>
    <n v="12202.48"/>
    <n v="51839.12"/>
    <n v="2.81"/>
    <n v="6.73"/>
    <n v="1.1499999999999999"/>
    <n v="17.04"/>
    <n v="4.25"/>
    <n v="324.82"/>
  </r>
  <r>
    <s v="CMP0309"/>
    <s v="Synchronized global knowledgebase"/>
    <x v="4"/>
    <s v="Lead Generation"/>
    <s v="UK"/>
    <d v="2024-09-17T00:00:00"/>
    <d v="2024-09-24T00:00:00"/>
    <n v="455447"/>
    <n v="6695"/>
    <n v="234"/>
    <n v="11534.73"/>
    <n v="34925.089999999997"/>
    <n v="1.47"/>
    <n v="3.51"/>
    <n v="1.72"/>
    <n v="49.29"/>
    <n v="3.03"/>
    <n v="202.78"/>
  </r>
  <r>
    <s v="CMP0310"/>
    <s v="Profound zero administration circuit"/>
    <x v="0"/>
    <s v="Awareness"/>
    <s v="USA"/>
    <d v="2024-01-19T00:00:00"/>
    <d v="2024-03-01T00:00:00"/>
    <n v="74107"/>
    <n v="3253"/>
    <n v="204"/>
    <n v="8001.69"/>
    <n v="49532.22"/>
    <n v="4.3899999999999997"/>
    <n v="6.3"/>
    <n v="2.46"/>
    <n v="39.22"/>
    <n v="6.19"/>
    <n v="519.02"/>
  </r>
  <r>
    <s v="CMP0311"/>
    <s v="Triple-buffered real-time capability"/>
    <x v="1"/>
    <s v="Lead Generation"/>
    <s v="UK"/>
    <d v="2024-07-09T00:00:00"/>
    <d v="2024-07-23T00:00:00"/>
    <n v="180161"/>
    <n v="2720"/>
    <n v="273"/>
    <n v="8340.1299999999992"/>
    <n v="19603.41"/>
    <n v="1.51"/>
    <n v="10.039999999999999"/>
    <n v="3.07"/>
    <n v="30.55"/>
    <n v="2.35"/>
    <n v="135.05000000000001"/>
  </r>
  <r>
    <s v="CMP0312"/>
    <s v="Re-contextualized discrete application"/>
    <x v="3"/>
    <s v="Awareness"/>
    <s v="USA"/>
    <d v="2024-08-26T00:00:00"/>
    <d v="2024-09-20T00:00:00"/>
    <n v="167013"/>
    <n v="14747"/>
    <n v="2626"/>
    <n v="4793.3599999999997"/>
    <n v="11073.47"/>
    <n v="8.83"/>
    <n v="17.809999999999999"/>
    <n v="0.33"/>
    <n v="1.83"/>
    <n v="2.31"/>
    <n v="131.02000000000001"/>
  </r>
  <r>
    <s v="CMP0313"/>
    <s v="Configurable content-based customer loyalty"/>
    <x v="4"/>
    <s v="Conversion"/>
    <s v="India"/>
    <d v="2024-11-14T00:00:00"/>
    <d v="2024-12-06T00:00:00"/>
    <n v="339979"/>
    <n v="8125"/>
    <n v="226"/>
    <n v="6144.94"/>
    <n v="33983.25"/>
    <n v="2.39"/>
    <n v="2.79"/>
    <n v="0.76"/>
    <n v="27.19"/>
    <n v="5.53"/>
    <n v="453.03"/>
  </r>
  <r>
    <s v="CMP0314"/>
    <s v="Decentralized coherent software"/>
    <x v="1"/>
    <s v="Conversion"/>
    <s v="Australia"/>
    <d v="2024-05-05T00:00:00"/>
    <d v="2024-05-21T00:00:00"/>
    <n v="308663"/>
    <n v="7716"/>
    <n v="804"/>
    <n v="15719.41"/>
    <n v="70100.97"/>
    <n v="2.5"/>
    <n v="10.43"/>
    <n v="2.04"/>
    <n v="19.55"/>
    <n v="4.46"/>
    <n v="345.95"/>
  </r>
  <r>
    <s v="CMP0315"/>
    <s v="Diverse exuding task-force"/>
    <x v="0"/>
    <s v="Retention"/>
    <s v="India"/>
    <d v="2024-06-20T00:00:00"/>
    <d v="2024-06-27T00:00:00"/>
    <n v="172157"/>
    <n v="8039"/>
    <n v="628"/>
    <n v="18869.22"/>
    <n v="38553.15"/>
    <n v="4.67"/>
    <n v="7.82"/>
    <n v="2.35"/>
    <n v="30.05"/>
    <n v="2.04"/>
    <n v="104.32"/>
  </r>
  <r>
    <s v="CMP0316"/>
    <s v="Pre-emptive actuating solution"/>
    <x v="1"/>
    <s v="Conversion"/>
    <s v="India"/>
    <d v="2024-03-13T00:00:00"/>
    <d v="2024-04-06T00:00:00"/>
    <n v="157580"/>
    <n v="2678"/>
    <n v="178"/>
    <n v="11872.46"/>
    <n v="26944.880000000001"/>
    <n v="1.7"/>
    <n v="6.67"/>
    <n v="4.43"/>
    <n v="66.7"/>
    <n v="2.27"/>
    <n v="126.95"/>
  </r>
  <r>
    <s v="CMP0317"/>
    <s v="Advanced 24/7 flexibility"/>
    <x v="0"/>
    <s v="Awareness"/>
    <s v="USA"/>
    <d v="2024-02-13T00:00:00"/>
    <d v="2024-03-28T00:00:00"/>
    <n v="493287"/>
    <n v="22592"/>
    <n v="1854"/>
    <n v="12449.84"/>
    <n v="79498.41"/>
    <n v="4.58"/>
    <n v="8.2100000000000009"/>
    <n v="0.55000000000000004"/>
    <n v="6.72"/>
    <n v="6.39"/>
    <n v="538.54999999999995"/>
  </r>
  <r>
    <s v="CMP0318"/>
    <s v="Multi-layered hybrid attitude"/>
    <x v="0"/>
    <s v="Lead Generation"/>
    <s v="Canada"/>
    <d v="2024-05-29T00:00:00"/>
    <d v="2024-06-21T00:00:00"/>
    <n v="89232"/>
    <n v="4345"/>
    <n v="189"/>
    <n v="18248.88"/>
    <n v="47231.519999999997"/>
    <n v="4.87"/>
    <n v="4.37"/>
    <n v="4.2"/>
    <n v="96.55"/>
    <n v="2.59"/>
    <n v="158.82"/>
  </r>
  <r>
    <s v="CMP0319"/>
    <s v="Cross-group transitional pricing structure"/>
    <x v="4"/>
    <s v="Retention"/>
    <s v="UK"/>
    <d v="2024-10-26T00:00:00"/>
    <d v="2024-11-08T00:00:00"/>
    <n v="216753"/>
    <n v="5158"/>
    <n v="119"/>
    <n v="14294.43"/>
    <n v="37344.25"/>
    <n v="2.38"/>
    <n v="2.3199999999999998"/>
    <n v="2.77"/>
    <n v="120.12"/>
    <n v="2.61"/>
    <n v="161.25"/>
  </r>
  <r>
    <s v="CMP0320"/>
    <s v="Balanced executive migration"/>
    <x v="2"/>
    <s v="Awareness"/>
    <s v="USA"/>
    <d v="2024-04-16T00:00:00"/>
    <d v="2024-05-21T00:00:00"/>
    <n v="285702"/>
    <n v="8285"/>
    <n v="333"/>
    <n v="11038.87"/>
    <n v="69995.89"/>
    <n v="2.9"/>
    <n v="4.03"/>
    <n v="1.33"/>
    <n v="33.15"/>
    <n v="6.34"/>
    <n v="534.09"/>
  </r>
  <r>
    <s v="CMP0321"/>
    <s v="Future-proofed well-modulated groupware"/>
    <x v="4"/>
    <s v="Retention"/>
    <s v="UK"/>
    <d v="2024-11-04T00:00:00"/>
    <d v="2024-11-13T00:00:00"/>
    <n v="496946"/>
    <n v="7503"/>
    <n v="153"/>
    <n v="11075.69"/>
    <n v="63338.99"/>
    <n v="1.51"/>
    <n v="2.0499999999999998"/>
    <n v="1.48"/>
    <n v="72.39"/>
    <n v="5.72"/>
    <n v="471.87"/>
  </r>
  <r>
    <s v="CMP0322"/>
    <s v="Devolved fault-tolerant hub"/>
    <x v="2"/>
    <s v="Conversion"/>
    <s v="USA"/>
    <d v="2024-06-02T00:00:00"/>
    <d v="2024-06-25T00:00:00"/>
    <n v="97821"/>
    <n v="3550"/>
    <n v="242"/>
    <n v="8943.67"/>
    <n v="19857.43"/>
    <n v="3.63"/>
    <n v="6.84"/>
    <n v="2.52"/>
    <n v="36.96"/>
    <n v="2.2200000000000002"/>
    <n v="122.03"/>
  </r>
  <r>
    <s v="CMP0323"/>
    <s v="Proactive empowering hub"/>
    <x v="2"/>
    <s v="Awareness"/>
    <s v="Canada"/>
    <d v="2024-03-12T00:00:00"/>
    <d v="2024-03-26T00:00:00"/>
    <n v="498057"/>
    <n v="14244"/>
    <n v="817"/>
    <n v="6747.79"/>
    <n v="27525.55"/>
    <n v="2.86"/>
    <n v="5.74"/>
    <n v="0.47"/>
    <n v="8.26"/>
    <n v="4.08"/>
    <n v="307.92"/>
  </r>
  <r>
    <s v="CMP0324"/>
    <s v="Enterprise-wide multimedia throughput"/>
    <x v="0"/>
    <s v="Awareness"/>
    <s v="USA"/>
    <d v="2024-02-13T00:00:00"/>
    <d v="2024-03-28T00:00:00"/>
    <n v="118532"/>
    <n v="3899"/>
    <n v="249"/>
    <n v="18725.71"/>
    <n v="116456.82"/>
    <n v="3.29"/>
    <n v="6.4"/>
    <n v="4.8"/>
    <n v="75.2"/>
    <n v="6.22"/>
    <n v="521.91"/>
  </r>
  <r>
    <s v="CMP0325"/>
    <s v="Multi-tiered 24/7 time-frame"/>
    <x v="3"/>
    <s v="Conversion"/>
    <s v="India"/>
    <d v="2024-02-17T00:00:00"/>
    <d v="2024-03-16T00:00:00"/>
    <n v="61429"/>
    <n v="6130"/>
    <n v="611"/>
    <n v="3406.94"/>
    <n v="19221.419999999998"/>
    <n v="9.98"/>
    <n v="9.98"/>
    <n v="0.56000000000000005"/>
    <n v="5.58"/>
    <n v="5.64"/>
    <n v="464.18"/>
  </r>
  <r>
    <s v="CMP0326"/>
    <s v="Realigned 24/7 methodology"/>
    <x v="0"/>
    <s v="Awareness"/>
    <s v="Canada"/>
    <d v="2024-01-16T00:00:00"/>
    <d v="2024-02-16T00:00:00"/>
    <n v="76548"/>
    <n v="2426"/>
    <n v="180"/>
    <n v="21433.71"/>
    <n v="80965.710000000006"/>
    <n v="3.17"/>
    <n v="7.44"/>
    <n v="8.83"/>
    <n v="119.08"/>
    <n v="3.78"/>
    <n v="277.75"/>
  </r>
  <r>
    <s v="CMP0327"/>
    <s v="Networked modular portal"/>
    <x v="1"/>
    <s v="Lead Generation"/>
    <s v="UK"/>
    <d v="2024-11-10T00:00:00"/>
    <d v="2024-12-02T00:00:00"/>
    <n v="162573"/>
    <n v="3804"/>
    <n v="263"/>
    <n v="11136.18"/>
    <n v="29720.7"/>
    <n v="2.34"/>
    <n v="6.92"/>
    <n v="2.93"/>
    <n v="42.34"/>
    <n v="2.67"/>
    <n v="166.88"/>
  </r>
  <r>
    <s v="CMP0328"/>
    <s v="Multi-tiered foreground Graphic Interface"/>
    <x v="4"/>
    <s v="Retention"/>
    <s v="Canada"/>
    <d v="2024-11-25T00:00:00"/>
    <d v="2025-01-04T00:00:00"/>
    <n v="338719"/>
    <n v="8298"/>
    <n v="150"/>
    <n v="7287.69"/>
    <n v="28324.02"/>
    <n v="2.4500000000000002"/>
    <n v="1.81"/>
    <n v="0.88"/>
    <n v="48.58"/>
    <n v="3.89"/>
    <n v="288.66000000000003"/>
  </r>
  <r>
    <s v="CMP0329"/>
    <s v="Intuitive system-worthy Graphical User Interface"/>
    <x v="2"/>
    <s v="Awareness"/>
    <s v="Canada"/>
    <d v="2024-10-16T00:00:00"/>
    <d v="2024-11-24T00:00:00"/>
    <n v="459949"/>
    <n v="16742"/>
    <n v="736"/>
    <n v="14721.53"/>
    <n v="52234.25"/>
    <n v="3.64"/>
    <n v="4.4000000000000004"/>
    <n v="0.88"/>
    <n v="20"/>
    <n v="3.55"/>
    <n v="254.82"/>
  </r>
  <r>
    <s v="CMP0330"/>
    <s v="Ameliorated executive archive"/>
    <x v="4"/>
    <s v="Retention"/>
    <s v="UK"/>
    <d v="2024-05-23T00:00:00"/>
    <d v="2024-06-02T00:00:00"/>
    <n v="144275"/>
    <n v="1832"/>
    <n v="65"/>
    <n v="2866.29"/>
    <n v="16189.1"/>
    <n v="1.27"/>
    <n v="3.59"/>
    <n v="1.56"/>
    <n v="44.1"/>
    <n v="5.65"/>
    <n v="464.81"/>
  </r>
  <r>
    <s v="CMP0331"/>
    <s v="Advanced user-facing concept"/>
    <x v="1"/>
    <s v="Conversion"/>
    <s v="Australia"/>
    <d v="2024-01-29T00:00:00"/>
    <d v="2024-02-19T00:00:00"/>
    <n v="172034"/>
    <n v="4232"/>
    <n v="241"/>
    <n v="14509.83"/>
    <n v="46422.34"/>
    <n v="2.46"/>
    <n v="5.7"/>
    <n v="3.43"/>
    <n v="60.21"/>
    <n v="3.2"/>
    <n v="219.94"/>
  </r>
  <r>
    <s v="CMP0332"/>
    <s v="Multi-lateral systematic project"/>
    <x v="3"/>
    <s v="Retention"/>
    <s v="UK"/>
    <d v="2024-07-02T00:00:00"/>
    <d v="2024-08-15T00:00:00"/>
    <n v="489994"/>
    <n v="48754"/>
    <n v="4748"/>
    <n v="1564.48"/>
    <n v="5367.76"/>
    <n v="9.9499999999999993"/>
    <n v="9.74"/>
    <n v="0.03"/>
    <n v="0.33"/>
    <n v="3.43"/>
    <n v="243.1"/>
  </r>
  <r>
    <s v="CMP0333"/>
    <s v="Face-to-face bi-directional throughput"/>
    <x v="0"/>
    <s v="Conversion"/>
    <s v="Australia"/>
    <d v="2024-09-09T00:00:00"/>
    <d v="2024-10-20T00:00:00"/>
    <n v="345492"/>
    <n v="10606"/>
    <n v="1027"/>
    <n v="21733.94"/>
    <n v="122727.33"/>
    <n v="3.07"/>
    <n v="9.69"/>
    <n v="2.0499999999999998"/>
    <n v="21.16"/>
    <n v="5.65"/>
    <n v="464.68"/>
  </r>
  <r>
    <s v="CMP0334"/>
    <s v="Advanced cohesive adapter"/>
    <x v="4"/>
    <s v="Lead Generation"/>
    <s v="Canada"/>
    <d v="2024-01-01T00:00:00"/>
    <d v="2024-01-29T00:00:00"/>
    <n v="69903"/>
    <n v="999"/>
    <n v="23"/>
    <n v="5235.1099999999997"/>
    <n v="22872.29"/>
    <n v="1.43"/>
    <n v="2.31"/>
    <n v="5.24"/>
    <n v="227.61"/>
    <n v="4.37"/>
    <n v="336.9"/>
  </r>
  <r>
    <s v="CMP0335"/>
    <s v="Advanced 3rdgeneration customer loyalty"/>
    <x v="3"/>
    <s v="Lead Generation"/>
    <s v="USA"/>
    <d v="2024-01-12T00:00:00"/>
    <d v="2024-01-28T00:00:00"/>
    <n v="228655"/>
    <n v="18978"/>
    <n v="3262"/>
    <n v="4299.28"/>
    <n v="14858.96"/>
    <n v="8.3000000000000007"/>
    <n v="17.190000000000001"/>
    <n v="0.23"/>
    <n v="1.32"/>
    <n v="3.46"/>
    <n v="245.62"/>
  </r>
  <r>
    <s v="CMP0336"/>
    <s v="Reverse-engineered discrete Graphic Interface"/>
    <x v="3"/>
    <s v="Lead Generation"/>
    <s v="India"/>
    <d v="2024-07-21T00:00:00"/>
    <d v="2024-09-03T00:00:00"/>
    <n v="493799"/>
    <n v="35356"/>
    <n v="4118"/>
    <n v="826.39"/>
    <n v="4272.78"/>
    <n v="7.16"/>
    <n v="11.65"/>
    <n v="0.02"/>
    <n v="0.2"/>
    <n v="5.17"/>
    <n v="417.04"/>
  </r>
  <r>
    <s v="CMP0337"/>
    <s v="Multi-tiered attitude-oriented hierarchy"/>
    <x v="0"/>
    <s v="Conversion"/>
    <s v="UK"/>
    <d v="2024-09-06T00:00:00"/>
    <d v="2024-10-03T00:00:00"/>
    <n v="219136"/>
    <n v="6683"/>
    <n v="330"/>
    <n v="23973.87"/>
    <n v="133373.62"/>
    <n v="3.05"/>
    <n v="4.95"/>
    <n v="3.59"/>
    <n v="72.650000000000006"/>
    <n v="5.56"/>
    <n v="456.33"/>
  </r>
  <r>
    <s v="CMP0338"/>
    <s v="Secured contextually-based workforce"/>
    <x v="2"/>
    <s v="Conversion"/>
    <s v="USA"/>
    <d v="2024-03-06T00:00:00"/>
    <d v="2024-03-24T00:00:00"/>
    <n v="398930"/>
    <n v="13045"/>
    <n v="375"/>
    <n v="7602.35"/>
    <n v="38758.629999999997"/>
    <n v="3.27"/>
    <n v="2.88"/>
    <n v="0.57999999999999996"/>
    <n v="20.27"/>
    <n v="5.0999999999999996"/>
    <n v="409.82"/>
  </r>
  <r>
    <s v="CMP0339"/>
    <s v="Total leadingedge intranet"/>
    <x v="0"/>
    <s v="Retention"/>
    <s v="Australia"/>
    <d v="2024-11-23T00:00:00"/>
    <d v="2025-01-05T00:00:00"/>
    <n v="66977"/>
    <n v="2163"/>
    <n v="127"/>
    <n v="21176.14"/>
    <n v="100612.4"/>
    <n v="3.23"/>
    <n v="5.91"/>
    <n v="9.7899999999999991"/>
    <n v="166.74"/>
    <n v="4.75"/>
    <n v="375.12"/>
  </r>
  <r>
    <s v="CMP0340"/>
    <s v="Enterprise-wide zero-defect alliance"/>
    <x v="0"/>
    <s v="Retention"/>
    <s v="USA"/>
    <d v="2024-02-15T00:00:00"/>
    <d v="2024-03-14T00:00:00"/>
    <n v="223627"/>
    <n v="12254"/>
    <n v="665"/>
    <n v="24647.59"/>
    <n v="67916.27"/>
    <n v="5.48"/>
    <n v="5.43"/>
    <n v="2.0099999999999998"/>
    <n v="37.06"/>
    <n v="2.76"/>
    <n v="175.55"/>
  </r>
  <r>
    <s v="CMP0341"/>
    <s v="Universal intangible product"/>
    <x v="1"/>
    <s v="Awareness"/>
    <s v="UK"/>
    <d v="2024-01-01T00:00:00"/>
    <d v="2024-01-11T00:00:00"/>
    <n v="159934"/>
    <n v="1951"/>
    <n v="106"/>
    <n v="8106.53"/>
    <n v="20154.099999999999"/>
    <n v="1.22"/>
    <n v="5.47"/>
    <n v="4.16"/>
    <n v="76.48"/>
    <n v="2.4900000000000002"/>
    <n v="148.62"/>
  </r>
  <r>
    <s v="CMP0342"/>
    <s v="Versatile web-enabled complexity"/>
    <x v="1"/>
    <s v="Retention"/>
    <s v="Canada"/>
    <d v="2024-02-21T00:00:00"/>
    <d v="2024-03-29T00:00:00"/>
    <n v="137209"/>
    <n v="3155"/>
    <n v="266"/>
    <n v="10059.4"/>
    <n v="44835.83"/>
    <n v="2.2999999999999998"/>
    <n v="8.4499999999999993"/>
    <n v="3.19"/>
    <n v="37.82"/>
    <n v="4.46"/>
    <n v="345.71"/>
  </r>
  <r>
    <s v="CMP0343"/>
    <s v="Universal non-volatile encryption"/>
    <x v="3"/>
    <s v="Lead Generation"/>
    <s v="USA"/>
    <d v="2024-02-23T00:00:00"/>
    <d v="2024-03-05T00:00:00"/>
    <n v="286604"/>
    <n v="12725"/>
    <n v="2094"/>
    <n v="1827.09"/>
    <n v="6274.64"/>
    <n v="4.4400000000000004"/>
    <n v="16.46"/>
    <n v="0.14000000000000001"/>
    <n v="0.87"/>
    <n v="3.43"/>
    <n v="243.42"/>
  </r>
  <r>
    <s v="CMP0344"/>
    <s v="Synergistic radical utilization"/>
    <x v="4"/>
    <s v="Lead Generation"/>
    <s v="Canada"/>
    <d v="2024-10-31T00:00:00"/>
    <d v="2024-12-07T00:00:00"/>
    <n v="134360"/>
    <n v="4165"/>
    <n v="142"/>
    <n v="13726.55"/>
    <n v="33204.129999999997"/>
    <n v="3.1"/>
    <n v="3.41"/>
    <n v="3.3"/>
    <n v="96.67"/>
    <n v="2.42"/>
    <n v="141.9"/>
  </r>
  <r>
    <s v="CMP0345"/>
    <s v="Visionary local matrices"/>
    <x v="0"/>
    <s v="Retention"/>
    <s v="USA"/>
    <d v="2024-04-07T00:00:00"/>
    <d v="2024-05-10T00:00:00"/>
    <n v="368409"/>
    <n v="22325"/>
    <n v="1102"/>
    <n v="7025.16"/>
    <n v="20548.43"/>
    <n v="6.06"/>
    <n v="4.9400000000000004"/>
    <n v="0.31"/>
    <n v="6.37"/>
    <n v="2.92"/>
    <n v="192.5"/>
  </r>
  <r>
    <s v="CMP0346"/>
    <s v="Seamless demand-driven analyzer"/>
    <x v="3"/>
    <s v="Conversion"/>
    <s v="UK"/>
    <d v="2024-03-19T00:00:00"/>
    <d v="2024-03-29T00:00:00"/>
    <n v="205923"/>
    <n v="11181"/>
    <n v="950"/>
    <n v="3072.96"/>
    <n v="17759.7"/>
    <n v="5.43"/>
    <n v="8.5"/>
    <n v="0.27"/>
    <n v="3.23"/>
    <n v="5.78"/>
    <n v="477.93"/>
  </r>
  <r>
    <s v="CMP0347"/>
    <s v="Extended reciprocal collaboration"/>
    <x v="4"/>
    <s v="Awareness"/>
    <s v="Canada"/>
    <d v="2024-01-14T00:00:00"/>
    <d v="2024-02-03T00:00:00"/>
    <n v="95942"/>
    <n v="1890"/>
    <n v="72"/>
    <n v="10002.69"/>
    <n v="28993.16"/>
    <n v="1.97"/>
    <n v="3.82"/>
    <n v="5.29"/>
    <n v="138.93"/>
    <n v="2.9"/>
    <n v="189.85"/>
  </r>
  <r>
    <s v="CMP0348"/>
    <s v="Cloned fault-tolerant structure"/>
    <x v="2"/>
    <s v="Conversion"/>
    <s v="India"/>
    <d v="2024-05-15T00:00:00"/>
    <d v="2024-05-27T00:00:00"/>
    <n v="298287"/>
    <n v="12020"/>
    <n v="425"/>
    <n v="8962.01"/>
    <n v="37648.83"/>
    <n v="4.03"/>
    <n v="3.54"/>
    <n v="0.75"/>
    <n v="21.09"/>
    <n v="4.2"/>
    <n v="320.08999999999997"/>
  </r>
  <r>
    <s v="CMP0349"/>
    <s v="Reactive user-facing structure"/>
    <x v="3"/>
    <s v="Retention"/>
    <s v="USA"/>
    <d v="2024-08-26T00:00:00"/>
    <d v="2024-09-18T00:00:00"/>
    <n v="244521"/>
    <n v="22764"/>
    <n v="2661"/>
    <n v="2505.9899999999998"/>
    <n v="7981.16"/>
    <n v="9.31"/>
    <n v="11.69"/>
    <n v="0.11"/>
    <n v="0.94"/>
    <n v="3.18"/>
    <n v="218.48"/>
  </r>
  <r>
    <s v="CMP0350"/>
    <s v="Quality-focused motivating array"/>
    <x v="2"/>
    <s v="Conversion"/>
    <s v="Australia"/>
    <d v="2024-10-04T00:00:00"/>
    <d v="2024-11-06T00:00:00"/>
    <n v="82316"/>
    <n v="1605"/>
    <n v="87"/>
    <n v="4450.54"/>
    <n v="22282.23"/>
    <n v="1.95"/>
    <n v="5.48"/>
    <n v="2.77"/>
    <n v="51.16"/>
    <n v="5.01"/>
    <n v="400.66"/>
  </r>
  <r>
    <s v="CMP0351"/>
    <s v="Assimilated fresh-thinking superstructure"/>
    <x v="3"/>
    <s v="Lead Generation"/>
    <s v="Australia"/>
    <d v="2024-08-31T00:00:00"/>
    <d v="2024-10-13T00:00:00"/>
    <n v="81973"/>
    <n v="7410"/>
    <n v="1198"/>
    <n v="2383.84"/>
    <n v="10512.29"/>
    <n v="9.0399999999999991"/>
    <n v="16.18"/>
    <n v="0.32"/>
    <n v="1.99"/>
    <n v="4.41"/>
    <n v="340.98"/>
  </r>
  <r>
    <s v="CMP0352"/>
    <s v="Cloned methodical framework"/>
    <x v="2"/>
    <s v="Retention"/>
    <s v="UK"/>
    <d v="2024-09-21T00:00:00"/>
    <d v="2024-11-03T00:00:00"/>
    <n v="91395"/>
    <n v="2449"/>
    <n v="153"/>
    <n v="3520.93"/>
    <n v="16092.37"/>
    <n v="2.68"/>
    <n v="6.27"/>
    <n v="1.44"/>
    <n v="23.01"/>
    <n v="4.57"/>
    <n v="357.05"/>
  </r>
  <r>
    <s v="CMP0353"/>
    <s v="Horizontal stable strategy"/>
    <x v="3"/>
    <s v="Lead Generation"/>
    <s v="India"/>
    <d v="2024-04-08T00:00:00"/>
    <d v="2024-04-23T00:00:00"/>
    <n v="446984"/>
    <n v="29903"/>
    <n v="5230"/>
    <n v="1252.24"/>
    <n v="3698.5"/>
    <n v="6.69"/>
    <n v="17.489999999999998"/>
    <n v="0.04"/>
    <n v="0.24"/>
    <n v="2.95"/>
    <n v="195.35"/>
  </r>
  <r>
    <s v="CMP0354"/>
    <s v="Grass-roots methodical website"/>
    <x v="0"/>
    <s v="Retention"/>
    <s v="India"/>
    <d v="2024-05-12T00:00:00"/>
    <d v="2024-06-08T00:00:00"/>
    <n v="408154"/>
    <n v="17305"/>
    <n v="1727"/>
    <n v="17544.52"/>
    <n v="100942.16"/>
    <n v="4.24"/>
    <n v="9.98"/>
    <n v="1.01"/>
    <n v="10.16"/>
    <n v="5.75"/>
    <n v="475.35"/>
  </r>
  <r>
    <s v="CMP0355"/>
    <s v="Horizontal systemic circuit"/>
    <x v="0"/>
    <s v="Awareness"/>
    <s v="Canada"/>
    <d v="2024-01-07T00:00:00"/>
    <d v="2024-02-20T00:00:00"/>
    <n v="341695"/>
    <n v="13975"/>
    <n v="832"/>
    <n v="10524.02"/>
    <n v="42745.49"/>
    <n v="4.09"/>
    <n v="5.96"/>
    <n v="0.75"/>
    <n v="12.65"/>
    <n v="4.0599999999999996"/>
    <n v="306.17"/>
  </r>
  <r>
    <s v="CMP0356"/>
    <s v="Stand-alone empowering intranet"/>
    <x v="3"/>
    <s v="Retention"/>
    <s v="India"/>
    <d v="2024-02-21T00:00:00"/>
    <d v="2024-03-05T00:00:00"/>
    <n v="267287"/>
    <n v="13097"/>
    <n v="1790"/>
    <n v="3122.05"/>
    <n v="19799.240000000002"/>
    <n v="4.9000000000000004"/>
    <n v="13.67"/>
    <n v="0.24"/>
    <n v="1.74"/>
    <n v="6.34"/>
    <n v="534.16999999999996"/>
  </r>
  <r>
    <s v="CMP0357"/>
    <s v="Multi-layered static instruction set"/>
    <x v="3"/>
    <s v="Awareness"/>
    <s v="UK"/>
    <d v="2024-10-19T00:00:00"/>
    <d v="2024-12-03T00:00:00"/>
    <n v="330826"/>
    <n v="30700"/>
    <n v="5151"/>
    <n v="1688.61"/>
    <n v="8352.7800000000007"/>
    <n v="9.2799999999999994"/>
    <n v="16.78"/>
    <n v="0.06"/>
    <n v="0.33"/>
    <n v="4.95"/>
    <n v="394.65"/>
  </r>
  <r>
    <s v="CMP0358"/>
    <s v="Visionary regional throughput"/>
    <x v="1"/>
    <s v="Awareness"/>
    <s v="USA"/>
    <d v="2024-07-21T00:00:00"/>
    <d v="2024-08-18T00:00:00"/>
    <n v="194396"/>
    <n v="2896"/>
    <n v="270"/>
    <n v="14893.01"/>
    <n v="56708.7"/>
    <n v="1.49"/>
    <n v="9.33"/>
    <n v="5.14"/>
    <n v="55.16"/>
    <n v="3.81"/>
    <n v="280.77"/>
  </r>
  <r>
    <s v="CMP0359"/>
    <s v="Distributed non-volatile access"/>
    <x v="2"/>
    <s v="Awareness"/>
    <s v="Canada"/>
    <d v="2024-05-23T00:00:00"/>
    <d v="2024-06-30T00:00:00"/>
    <n v="190815"/>
    <n v="7995"/>
    <n v="167"/>
    <n v="15260.79"/>
    <n v="51333.440000000002"/>
    <n v="4.1900000000000004"/>
    <n v="2.1"/>
    <n v="1.91"/>
    <n v="91.38"/>
    <n v="3.36"/>
    <n v="236.37"/>
  </r>
  <r>
    <s v="CMP0360"/>
    <s v="Front-line national alliance"/>
    <x v="0"/>
    <s v="Lead Generation"/>
    <s v="USA"/>
    <d v="2024-08-01T00:00:00"/>
    <d v="2024-09-15T00:00:00"/>
    <n v="207538"/>
    <n v="13282"/>
    <n v="884"/>
    <n v="21516.47"/>
    <n v="69119.289999999994"/>
    <n v="6.4"/>
    <n v="6.66"/>
    <n v="1.62"/>
    <n v="24.34"/>
    <n v="3.21"/>
    <n v="221.24"/>
  </r>
  <r>
    <s v="CMP0361"/>
    <s v="Customer-focused asymmetric open system"/>
    <x v="0"/>
    <s v="Lead Generation"/>
    <s v="Canada"/>
    <d v="2024-07-10T00:00:00"/>
    <d v="2024-07-20T00:00:00"/>
    <n v="160829"/>
    <n v="9890"/>
    <n v="636"/>
    <n v="14689.21"/>
    <n v="63519.91"/>
    <n v="6.15"/>
    <n v="6.44"/>
    <n v="1.49"/>
    <n v="23.1"/>
    <n v="4.32"/>
    <n v="332.43"/>
  </r>
  <r>
    <s v="CMP0362"/>
    <s v="Automated tangible attitude"/>
    <x v="3"/>
    <s v="Lead Generation"/>
    <s v="India"/>
    <d v="2024-10-18T00:00:00"/>
    <d v="2024-10-26T00:00:00"/>
    <n v="213118"/>
    <n v="17603"/>
    <n v="2117"/>
    <n v="4012.32"/>
    <n v="17490.86"/>
    <n v="8.26"/>
    <n v="12.03"/>
    <n v="0.23"/>
    <n v="1.9"/>
    <n v="4.3600000000000003"/>
    <n v="335.93"/>
  </r>
  <r>
    <s v="CMP0363"/>
    <s v="Fully-configurable optimizing paradigm"/>
    <x v="2"/>
    <s v="Lead Generation"/>
    <s v="USA"/>
    <d v="2024-04-11T00:00:00"/>
    <d v="2024-05-05T00:00:00"/>
    <n v="488816"/>
    <n v="8163"/>
    <n v="177"/>
    <n v="3758.39"/>
    <n v="13611.72"/>
    <n v="1.67"/>
    <n v="2.17"/>
    <n v="0.46"/>
    <n v="21.23"/>
    <n v="3.62"/>
    <n v="262.17"/>
  </r>
  <r>
    <s v="CMP0364"/>
    <s v="Optimized analyzing framework"/>
    <x v="4"/>
    <s v="Retention"/>
    <s v="Australia"/>
    <d v="2024-10-31T00:00:00"/>
    <d v="2024-12-05T00:00:00"/>
    <n v="258112"/>
    <n v="7356"/>
    <n v="141"/>
    <n v="2882.04"/>
    <n v="10594.67"/>
    <n v="2.85"/>
    <n v="1.93"/>
    <n v="0.39"/>
    <n v="20.440000000000001"/>
    <n v="3.68"/>
    <n v="267.61"/>
  </r>
  <r>
    <s v="CMP0365"/>
    <s v="Customizable scalable success"/>
    <x v="2"/>
    <s v="Retention"/>
    <s v="Australia"/>
    <d v="2024-02-16T00:00:00"/>
    <d v="2024-03-12T00:00:00"/>
    <n v="339057"/>
    <n v="8645"/>
    <n v="243"/>
    <n v="16417.38"/>
    <n v="88166.67"/>
    <n v="2.5499999999999998"/>
    <n v="2.82"/>
    <n v="1.9"/>
    <n v="67.56"/>
    <n v="5.37"/>
    <n v="437.03"/>
  </r>
  <r>
    <s v="CMP0366"/>
    <s v="Grass-roots 24/7 Graphical User Interface"/>
    <x v="0"/>
    <s v="Retention"/>
    <s v="India"/>
    <d v="2024-04-25T00:00:00"/>
    <d v="2024-05-15T00:00:00"/>
    <n v="135410"/>
    <n v="8016"/>
    <n v="695"/>
    <n v="9286.3700000000008"/>
    <n v="27822.71"/>
    <n v="5.92"/>
    <n v="8.68"/>
    <n v="1.1599999999999999"/>
    <n v="13.36"/>
    <n v="3"/>
    <n v="199.61"/>
  </r>
  <r>
    <s v="CMP0367"/>
    <s v="Vision-oriented background analyzer"/>
    <x v="4"/>
    <s v="Retention"/>
    <s v="Australia"/>
    <d v="2024-03-08T00:00:00"/>
    <d v="2024-03-26T00:00:00"/>
    <n v="60513"/>
    <n v="2087"/>
    <n v="101"/>
    <n v="11027.5"/>
    <n v="45581.48"/>
    <n v="3.45"/>
    <n v="4.88"/>
    <n v="5.28"/>
    <n v="109.18"/>
    <n v="4.13"/>
    <n v="313.33999999999997"/>
  </r>
  <r>
    <s v="CMP0368"/>
    <s v="Function-based local time-frame"/>
    <x v="3"/>
    <s v="Awareness"/>
    <s v="USA"/>
    <d v="2024-05-20T00:00:00"/>
    <d v="2024-06-23T00:00:00"/>
    <n v="182325"/>
    <n v="13947"/>
    <n v="2430"/>
    <n v="3707.33"/>
    <n v="19249.04"/>
    <n v="7.65"/>
    <n v="17.43"/>
    <n v="0.27"/>
    <n v="1.53"/>
    <n v="5.19"/>
    <n v="419.22"/>
  </r>
  <r>
    <s v="CMP0369"/>
    <s v="Diverse executive protocol"/>
    <x v="1"/>
    <s v="Conversion"/>
    <s v="Canada"/>
    <d v="2024-10-26T00:00:00"/>
    <d v="2024-11-08T00:00:00"/>
    <n v="182119"/>
    <n v="2130"/>
    <n v="151"/>
    <n v="12330.21"/>
    <n v="59261.79"/>
    <n v="1.17"/>
    <n v="7.12"/>
    <n v="5.79"/>
    <n v="81.66"/>
    <n v="4.8099999999999996"/>
    <n v="380.62"/>
  </r>
  <r>
    <s v="CMP0370"/>
    <s v="Monitored system-worthy system engine"/>
    <x v="0"/>
    <s v="Conversion"/>
    <s v="Australia"/>
    <d v="2024-06-21T00:00:00"/>
    <d v="2024-07-15T00:00:00"/>
    <n v="389393"/>
    <n v="19002"/>
    <n v="1083"/>
    <n v="18688.259999999998"/>
    <n v="77889.36"/>
    <n v="4.88"/>
    <n v="5.7"/>
    <n v="0.98"/>
    <n v="17.260000000000002"/>
    <n v="4.17"/>
    <n v="316.77999999999997"/>
  </r>
  <r>
    <s v="CMP0371"/>
    <s v="Front-line foreground moderator"/>
    <x v="4"/>
    <s v="Conversion"/>
    <s v="UK"/>
    <d v="2024-05-03T00:00:00"/>
    <d v="2024-05-13T00:00:00"/>
    <n v="393995"/>
    <n v="12016"/>
    <n v="555"/>
    <n v="6234.89"/>
    <n v="16676.349999999999"/>
    <n v="3.05"/>
    <n v="4.62"/>
    <n v="0.52"/>
    <n v="11.23"/>
    <n v="2.67"/>
    <n v="167.47"/>
  </r>
  <r>
    <s v="CMP0372"/>
    <s v="Inverse upward-trending orchestration"/>
    <x v="3"/>
    <s v="Retention"/>
    <s v="UK"/>
    <d v="2024-08-02T00:00:00"/>
    <d v="2024-09-03T00:00:00"/>
    <n v="406912"/>
    <n v="19694"/>
    <n v="1624"/>
    <n v="2738.18"/>
    <n v="9118.74"/>
    <n v="4.84"/>
    <n v="8.25"/>
    <n v="0.14000000000000001"/>
    <n v="1.69"/>
    <n v="3.33"/>
    <n v="233.02"/>
  </r>
  <r>
    <s v="CMP0373"/>
    <s v="Multi-lateral static capacity"/>
    <x v="1"/>
    <s v="Awareness"/>
    <s v="Australia"/>
    <d v="2024-09-30T00:00:00"/>
    <d v="2024-11-06T00:00:00"/>
    <n v="421232"/>
    <n v="10488"/>
    <n v="1123"/>
    <n v="9490.67"/>
    <n v="49447.93"/>
    <n v="2.4900000000000002"/>
    <n v="10.71"/>
    <n v="0.9"/>
    <n v="8.4499999999999993"/>
    <n v="5.21"/>
    <n v="421.02"/>
  </r>
  <r>
    <s v="CMP0374"/>
    <s v="Switchable local strategy"/>
    <x v="4"/>
    <s v="Conversion"/>
    <s v="USA"/>
    <d v="2024-05-12T00:00:00"/>
    <d v="2024-06-23T00:00:00"/>
    <n v="490736"/>
    <n v="14280"/>
    <n v="492"/>
    <n v="6172.3"/>
    <n v="25420.7"/>
    <n v="2.91"/>
    <n v="3.45"/>
    <n v="0.43"/>
    <n v="12.55"/>
    <n v="4.12"/>
    <n v="311.85000000000002"/>
  </r>
  <r>
    <s v="CMP0375"/>
    <s v="Open-source systemic success"/>
    <x v="2"/>
    <s v="Conversion"/>
    <s v="India"/>
    <d v="2024-06-18T00:00:00"/>
    <d v="2024-07-18T00:00:00"/>
    <n v="166524"/>
    <n v="4279"/>
    <n v="244"/>
    <n v="7606.28"/>
    <n v="42187.519999999997"/>
    <n v="2.57"/>
    <n v="5.72"/>
    <n v="1.78"/>
    <n v="31.17"/>
    <n v="5.55"/>
    <n v="454.64"/>
  </r>
  <r>
    <s v="CMP0376"/>
    <s v="Programmable attitude-oriented core"/>
    <x v="4"/>
    <s v="Conversion"/>
    <s v="Canada"/>
    <d v="2024-11-13T00:00:00"/>
    <d v="2024-11-24T00:00:00"/>
    <n v="496281"/>
    <n v="7493"/>
    <n v="126"/>
    <n v="10429.959999999999"/>
    <n v="48096.81"/>
    <n v="1.51"/>
    <n v="1.69"/>
    <n v="1.39"/>
    <n v="82.78"/>
    <n v="4.6100000000000003"/>
    <n v="361.14"/>
  </r>
  <r>
    <s v="CMP0377"/>
    <s v="Realigned coherent matrices"/>
    <x v="1"/>
    <s v="Lead Generation"/>
    <s v="Australia"/>
    <d v="2024-03-18T00:00:00"/>
    <d v="2024-04-02T00:00:00"/>
    <n v="112818"/>
    <n v="2560"/>
    <n v="196"/>
    <n v="8773.69"/>
    <n v="19681.830000000002"/>
    <n v="2.27"/>
    <n v="7.67"/>
    <n v="3.43"/>
    <n v="44.76"/>
    <n v="2.2400000000000002"/>
    <n v="124.33"/>
  </r>
  <r>
    <s v="CMP0378"/>
    <s v="Fully-configurable even-keeled focus group"/>
    <x v="2"/>
    <s v="Conversion"/>
    <s v="Canada"/>
    <d v="2024-04-02T00:00:00"/>
    <d v="2024-04-14T00:00:00"/>
    <n v="348531"/>
    <n v="14568"/>
    <n v="1009"/>
    <n v="5148.3599999999997"/>
    <n v="30276.34"/>
    <n v="4.18"/>
    <n v="6.93"/>
    <n v="0.35"/>
    <n v="5.0999999999999996"/>
    <n v="5.88"/>
    <n v="488.08"/>
  </r>
  <r>
    <s v="CMP0379"/>
    <s v="Fully-configurable tangible interface"/>
    <x v="1"/>
    <s v="Conversion"/>
    <s v="USA"/>
    <d v="2024-03-27T00:00:00"/>
    <d v="2024-05-09T00:00:00"/>
    <n v="214319"/>
    <n v="4029"/>
    <n v="202"/>
    <n v="8376.4500000000007"/>
    <n v="45445.34"/>
    <n v="1.88"/>
    <n v="5.03"/>
    <n v="2.08"/>
    <n v="41.47"/>
    <n v="5.43"/>
    <n v="442.54"/>
  </r>
  <r>
    <s v="CMP0380"/>
    <s v="Inverse discrete attitude"/>
    <x v="2"/>
    <s v="Retention"/>
    <s v="India"/>
    <d v="2024-07-15T00:00:00"/>
    <d v="2024-07-22T00:00:00"/>
    <n v="117845"/>
    <n v="3936"/>
    <n v="203"/>
    <n v="9050.9"/>
    <n v="57418.69"/>
    <n v="3.34"/>
    <n v="5.17"/>
    <n v="2.2999999999999998"/>
    <n v="44.59"/>
    <n v="6.34"/>
    <n v="534.4"/>
  </r>
  <r>
    <s v="CMP0381"/>
    <s v="Exclusive high-level capability"/>
    <x v="0"/>
    <s v="Lead Generation"/>
    <s v="UK"/>
    <d v="2024-01-03T00:00:00"/>
    <d v="2024-01-25T00:00:00"/>
    <n v="57380"/>
    <n v="3482"/>
    <n v="297"/>
    <n v="15620.68"/>
    <n v="32500.74"/>
    <n v="6.07"/>
    <n v="8.5399999999999991"/>
    <n v="4.49"/>
    <n v="52.59"/>
    <n v="2.08"/>
    <n v="108.06"/>
  </r>
  <r>
    <s v="CMP0382"/>
    <s v="Operative methodical ability"/>
    <x v="2"/>
    <s v="Conversion"/>
    <s v="UK"/>
    <d v="2024-01-24T00:00:00"/>
    <d v="2024-02-19T00:00:00"/>
    <n v="117596"/>
    <n v="2128"/>
    <n v="96"/>
    <n v="7591.73"/>
    <n v="17413.849999999999"/>
    <n v="1.81"/>
    <n v="4.5199999999999996"/>
    <n v="3.57"/>
    <n v="79.08"/>
    <n v="2.29"/>
    <n v="129.38"/>
  </r>
  <r>
    <s v="CMP0383"/>
    <s v="Multi-lateral tangible instruction set"/>
    <x v="4"/>
    <s v="Retention"/>
    <s v="Australia"/>
    <d v="2024-09-07T00:00:00"/>
    <d v="2024-10-06T00:00:00"/>
    <n v="362669"/>
    <n v="9284"/>
    <n v="280"/>
    <n v="11084.75"/>
    <n v="28843.1"/>
    <n v="2.56"/>
    <n v="3.02"/>
    <n v="1.19"/>
    <n v="39.590000000000003"/>
    <n v="2.6"/>
    <n v="160.21"/>
  </r>
  <r>
    <s v="CMP0384"/>
    <s v="Persistent exuding initiative"/>
    <x v="2"/>
    <s v="Lead Generation"/>
    <s v="Canada"/>
    <d v="2024-10-28T00:00:00"/>
    <d v="2024-12-06T00:00:00"/>
    <n v="60026"/>
    <n v="1314"/>
    <n v="74"/>
    <n v="4968.09"/>
    <n v="26347.49"/>
    <n v="2.19"/>
    <n v="5.64"/>
    <n v="3.78"/>
    <n v="67.14"/>
    <n v="5.3"/>
    <n v="430.33"/>
  </r>
  <r>
    <s v="CMP0385"/>
    <s v="Configurable context-sensitive ability"/>
    <x v="2"/>
    <s v="Awareness"/>
    <s v="UK"/>
    <d v="2024-09-30T00:00:00"/>
    <d v="2024-10-10T00:00:00"/>
    <n v="422826"/>
    <n v="14587"/>
    <n v="319"/>
    <n v="16148.16"/>
    <n v="50883.68"/>
    <n v="3.45"/>
    <n v="2.19"/>
    <n v="1.1100000000000001"/>
    <n v="50.62"/>
    <n v="3.15"/>
    <n v="215.11"/>
  </r>
  <r>
    <s v="CMP0386"/>
    <s v="Mandatory background orchestration"/>
    <x v="3"/>
    <s v="Awareness"/>
    <s v="India"/>
    <d v="2024-03-04T00:00:00"/>
    <d v="2024-04-15T00:00:00"/>
    <n v="392657"/>
    <n v="35417"/>
    <n v="3003"/>
    <n v="1021.05"/>
    <n v="4083.6"/>
    <n v="9.02"/>
    <n v="8.48"/>
    <n v="0.03"/>
    <n v="0.34"/>
    <n v="4"/>
    <n v="299.94"/>
  </r>
  <r>
    <s v="CMP0387"/>
    <s v="Advanced background methodology"/>
    <x v="4"/>
    <s v="Retention"/>
    <s v="USA"/>
    <d v="2024-09-23T00:00:00"/>
    <d v="2024-10-17T00:00:00"/>
    <n v="157738"/>
    <n v="4747"/>
    <n v="176"/>
    <n v="6263.96"/>
    <n v="31178.799999999999"/>
    <n v="3.01"/>
    <n v="3.71"/>
    <n v="1.32"/>
    <n v="35.590000000000003"/>
    <n v="4.9800000000000004"/>
    <n v="397.75"/>
  </r>
  <r>
    <s v="CMP0388"/>
    <s v="Pre-emptive disintermediate Local Area Network"/>
    <x v="3"/>
    <s v="Lead Generation"/>
    <s v="Canada"/>
    <d v="2024-02-24T00:00:00"/>
    <d v="2024-04-02T00:00:00"/>
    <n v="485501"/>
    <n v="45588"/>
    <n v="5981"/>
    <n v="3279.64"/>
    <n v="10731.57"/>
    <n v="9.39"/>
    <n v="13.12"/>
    <n v="7.0000000000000007E-2"/>
    <n v="0.55000000000000004"/>
    <n v="3.27"/>
    <n v="227.22"/>
  </r>
  <r>
    <s v="CMP0389"/>
    <s v="Cross-group disintermediate capacity"/>
    <x v="2"/>
    <s v="Lead Generation"/>
    <s v="UK"/>
    <d v="2024-01-21T00:00:00"/>
    <d v="2024-03-03T00:00:00"/>
    <n v="485944"/>
    <n v="14918"/>
    <n v="449"/>
    <n v="13551.55"/>
    <n v="45114.2"/>
    <n v="3.07"/>
    <n v="3.01"/>
    <n v="0.91"/>
    <n v="30.18"/>
    <n v="3.33"/>
    <n v="232.91"/>
  </r>
  <r>
    <s v="CMP0390"/>
    <s v="Versatile zero tolerance standardization"/>
    <x v="1"/>
    <s v="Lead Generation"/>
    <s v="Canada"/>
    <d v="2024-10-20T00:00:00"/>
    <d v="2024-11-27T00:00:00"/>
    <n v="223331"/>
    <n v="2679"/>
    <n v="136"/>
    <n v="5424.05"/>
    <n v="13543.52"/>
    <n v="1.2"/>
    <n v="5.09"/>
    <n v="2.02"/>
    <n v="39.880000000000003"/>
    <n v="2.5"/>
    <n v="149.69"/>
  </r>
  <r>
    <s v="CMP0391"/>
    <s v="Operative heuristic interface"/>
    <x v="2"/>
    <s v="Awareness"/>
    <s v="Australia"/>
    <d v="2024-05-31T00:00:00"/>
    <d v="2024-06-23T00:00:00"/>
    <n v="89346"/>
    <n v="3278"/>
    <n v="82"/>
    <n v="6838.38"/>
    <n v="20790.189999999999"/>
    <n v="3.67"/>
    <n v="2.5099999999999998"/>
    <n v="2.09"/>
    <n v="83.39"/>
    <n v="3.04"/>
    <n v="204.02"/>
  </r>
  <r>
    <s v="CMP0392"/>
    <s v="Integrated regional application"/>
    <x v="1"/>
    <s v="Awareness"/>
    <s v="India"/>
    <d v="2024-06-09T00:00:00"/>
    <d v="2024-07-13T00:00:00"/>
    <n v="476339"/>
    <n v="5239"/>
    <n v="276"/>
    <n v="8649.07"/>
    <n v="48496.91"/>
    <n v="1.1000000000000001"/>
    <n v="5.28"/>
    <n v="1.65"/>
    <n v="31.34"/>
    <n v="5.61"/>
    <n v="460.72"/>
  </r>
  <r>
    <s v="CMP0393"/>
    <s v="Decentralized leadingedge protocol"/>
    <x v="0"/>
    <s v="Awareness"/>
    <s v="India"/>
    <d v="2024-08-12T00:00:00"/>
    <d v="2024-09-05T00:00:00"/>
    <n v="55071"/>
    <n v="3254"/>
    <n v="259"/>
    <n v="8410.25"/>
    <n v="30351.53"/>
    <n v="5.91"/>
    <n v="7.98"/>
    <n v="2.58"/>
    <n v="32.47"/>
    <n v="3.61"/>
    <n v="260.89"/>
  </r>
  <r>
    <s v="CMP0394"/>
    <s v="User-friendly 5thgeneration time-frame"/>
    <x v="0"/>
    <s v="Conversion"/>
    <s v="UK"/>
    <d v="2024-09-01T00:00:00"/>
    <d v="2024-10-04T00:00:00"/>
    <n v="145876"/>
    <n v="4317"/>
    <n v="276"/>
    <n v="14130.77"/>
    <n v="81402.95"/>
    <n v="2.96"/>
    <n v="6.4"/>
    <n v="3.27"/>
    <n v="51.2"/>
    <n v="5.76"/>
    <n v="476.07"/>
  </r>
  <r>
    <s v="CMP0395"/>
    <s v="Persistent 5thgeneration instruction set"/>
    <x v="2"/>
    <s v="Awareness"/>
    <s v="USA"/>
    <d v="2024-10-29T00:00:00"/>
    <d v="2024-12-05T00:00:00"/>
    <n v="414993"/>
    <n v="15271"/>
    <n v="1055"/>
    <n v="15665.25"/>
    <n v="38641.61"/>
    <n v="3.68"/>
    <n v="6.91"/>
    <n v="1.03"/>
    <n v="14.85"/>
    <n v="2.4700000000000002"/>
    <n v="146.66999999999999"/>
  </r>
  <r>
    <s v="CMP0396"/>
    <s v="Reverse-engineered national flexibility"/>
    <x v="3"/>
    <s v="Retention"/>
    <s v="USA"/>
    <d v="2024-03-07T00:00:00"/>
    <d v="2024-04-13T00:00:00"/>
    <n v="370509"/>
    <n v="23267"/>
    <n v="2696"/>
    <n v="629.66999999999996"/>
    <n v="3198.78"/>
    <n v="6.28"/>
    <n v="11.59"/>
    <n v="0.03"/>
    <n v="0.23"/>
    <n v="5.08"/>
    <n v="408.01"/>
  </r>
  <r>
    <s v="CMP0397"/>
    <s v="Re-contextualized dynamic hardware"/>
    <x v="1"/>
    <s v="Awareness"/>
    <s v="Canada"/>
    <d v="2024-09-25T00:00:00"/>
    <d v="2024-11-07T00:00:00"/>
    <n v="281047"/>
    <n v="2473"/>
    <n v="168"/>
    <n v="9027.81"/>
    <n v="46678.8"/>
    <n v="0.88"/>
    <n v="6.83"/>
    <n v="3.65"/>
    <n v="53.74"/>
    <n v="5.17"/>
    <n v="417.06"/>
  </r>
  <r>
    <s v="CMP0398"/>
    <s v="User-centric impactful alliance"/>
    <x v="3"/>
    <s v="Lead Generation"/>
    <s v="UK"/>
    <d v="2024-05-07T00:00:00"/>
    <d v="2024-06-13T00:00:00"/>
    <n v="322157"/>
    <n v="23002"/>
    <n v="3452"/>
    <n v="928.59"/>
    <n v="4622.25"/>
    <n v="7.14"/>
    <n v="15.01"/>
    <n v="0.04"/>
    <n v="0.27"/>
    <n v="4.9800000000000004"/>
    <n v="397.77"/>
  </r>
  <r>
    <s v="CMP0399"/>
    <s v="Assimilated stable firmware"/>
    <x v="4"/>
    <s v="Retention"/>
    <s v="USA"/>
    <d v="2024-03-21T00:00:00"/>
    <d v="2024-04-29T00:00:00"/>
    <n v="489894"/>
    <n v="16411"/>
    <n v="758"/>
    <n v="10161.43"/>
    <n v="20855.34"/>
    <n v="3.35"/>
    <n v="4.62"/>
    <n v="0.62"/>
    <n v="13.41"/>
    <n v="2.0499999999999998"/>
    <n v="105.24"/>
  </r>
  <r>
    <s v="CMP0400"/>
    <s v="Synchronized 4thgeneration access"/>
    <x v="1"/>
    <s v="Retention"/>
    <s v="USA"/>
    <d v="2024-09-16T00:00:00"/>
    <d v="2024-10-07T00:00:00"/>
    <n v="89250"/>
    <n v="1856"/>
    <n v="134"/>
    <n v="9294.32"/>
    <n v="30222.41"/>
    <n v="2.08"/>
    <n v="7.24"/>
    <n v="5.01"/>
    <n v="69.36"/>
    <n v="3.25"/>
    <n v="225.17"/>
  </r>
  <r>
    <s v="CMP0401"/>
    <s v="Right-sized responsive implementation"/>
    <x v="3"/>
    <s v="Retention"/>
    <s v="Canada"/>
    <d v="2024-09-12T00:00:00"/>
    <d v="2024-10-17T00:00:00"/>
    <n v="478397"/>
    <n v="25881"/>
    <n v="3258"/>
    <n v="4105.68"/>
    <n v="16490.23"/>
    <n v="5.41"/>
    <n v="12.59"/>
    <n v="0.16"/>
    <n v="1.26"/>
    <n v="4.0199999999999996"/>
    <n v="301.64"/>
  </r>
  <r>
    <s v="CMP0402"/>
    <s v="Customer-focused radical analyzer"/>
    <x v="4"/>
    <s v="Awareness"/>
    <s v="Canada"/>
    <d v="2024-01-01T00:00:00"/>
    <d v="2024-01-13T00:00:00"/>
    <n v="440719"/>
    <n v="12780"/>
    <n v="237"/>
    <n v="7654.23"/>
    <n v="34498.300000000003"/>
    <n v="2.9"/>
    <n v="1.86"/>
    <n v="0.6"/>
    <n v="32.299999999999997"/>
    <n v="4.51"/>
    <n v="350.71"/>
  </r>
  <r>
    <s v="CMP0403"/>
    <s v="Right-sized well-modulated leverage"/>
    <x v="3"/>
    <s v="Conversion"/>
    <s v="Australia"/>
    <d v="2024-01-28T00:00:00"/>
    <d v="2024-02-18T00:00:00"/>
    <n v="344824"/>
    <n v="18068"/>
    <n v="2657"/>
    <n v="4776.6000000000004"/>
    <n v="17363.14"/>
    <n v="5.24"/>
    <n v="14.71"/>
    <n v="0.26"/>
    <n v="1.8"/>
    <n v="3.64"/>
    <n v="263.5"/>
  </r>
  <r>
    <s v="CMP0404"/>
    <s v="Versatile bandwidth-monitored neural-net"/>
    <x v="1"/>
    <s v="Conversion"/>
    <s v="Australia"/>
    <d v="2024-02-28T00:00:00"/>
    <d v="2024-03-12T00:00:00"/>
    <n v="452347"/>
    <n v="8368"/>
    <n v="695"/>
    <n v="14514.68"/>
    <n v="75790.009999999995"/>
    <n v="1.85"/>
    <n v="8.31"/>
    <n v="1.73"/>
    <n v="20.88"/>
    <n v="5.22"/>
    <n v="422.16"/>
  </r>
  <r>
    <s v="CMP0405"/>
    <s v="Seamless neutral budgetary management"/>
    <x v="2"/>
    <s v="Awareness"/>
    <s v="UK"/>
    <d v="2024-02-24T00:00:00"/>
    <d v="2024-03-04T00:00:00"/>
    <n v="236195"/>
    <n v="9424"/>
    <n v="642"/>
    <n v="7379.75"/>
    <n v="32094.04"/>
    <n v="3.99"/>
    <n v="6.82"/>
    <n v="0.78"/>
    <n v="11.49"/>
    <n v="4.3499999999999996"/>
    <n v="334.89"/>
  </r>
  <r>
    <s v="CMP0406"/>
    <s v="Universal system-worthy portal"/>
    <x v="2"/>
    <s v="Retention"/>
    <s v="USA"/>
    <d v="2024-04-06T00:00:00"/>
    <d v="2024-04-20T00:00:00"/>
    <n v="480880"/>
    <n v="17552"/>
    <n v="984"/>
    <n v="4604.42"/>
    <n v="21865.62"/>
    <n v="3.65"/>
    <n v="5.61"/>
    <n v="0.26"/>
    <n v="4.68"/>
    <n v="4.75"/>
    <n v="374.88"/>
  </r>
  <r>
    <s v="CMP0407"/>
    <s v="Function-based value-added budgetary management"/>
    <x v="1"/>
    <s v="Lead Generation"/>
    <s v="Canada"/>
    <d v="2024-11-20T00:00:00"/>
    <d v="2025-01-03T00:00:00"/>
    <n v="482303"/>
    <n v="10273"/>
    <n v="1029"/>
    <n v="5724.25"/>
    <n v="22124.89"/>
    <n v="2.13"/>
    <n v="10.02"/>
    <n v="0.56000000000000005"/>
    <n v="5.56"/>
    <n v="3.87"/>
    <n v="286.51"/>
  </r>
  <r>
    <s v="CMP0408"/>
    <s v="Team-oriented systemic task-force"/>
    <x v="0"/>
    <s v="Retention"/>
    <s v="Canada"/>
    <d v="2024-01-25T00:00:00"/>
    <d v="2024-03-07T00:00:00"/>
    <n v="395220"/>
    <n v="19207"/>
    <n v="1350"/>
    <n v="24277.1"/>
    <n v="49028.07"/>
    <n v="4.8600000000000003"/>
    <n v="7.03"/>
    <n v="1.26"/>
    <n v="17.98"/>
    <n v="2.02"/>
    <n v="101.95"/>
  </r>
  <r>
    <s v="CMP0409"/>
    <s v="Versatile analyzing encryption"/>
    <x v="1"/>
    <s v="Retention"/>
    <s v="Australia"/>
    <d v="2024-03-06T00:00:00"/>
    <d v="2024-03-19T00:00:00"/>
    <n v="459511"/>
    <n v="10890"/>
    <n v="679"/>
    <n v="13256.87"/>
    <n v="70092.070000000007"/>
    <n v="2.37"/>
    <n v="6.24"/>
    <n v="1.22"/>
    <n v="19.52"/>
    <n v="5.29"/>
    <n v="428.72"/>
  </r>
  <r>
    <s v="CMP0410"/>
    <s v="Progressive even-keeled productivity"/>
    <x v="1"/>
    <s v="Conversion"/>
    <s v="Australia"/>
    <d v="2024-07-22T00:00:00"/>
    <d v="2024-08-19T00:00:00"/>
    <n v="251674"/>
    <n v="3800"/>
    <n v="351"/>
    <n v="15080.25"/>
    <n v="47006.26"/>
    <n v="1.51"/>
    <n v="9.26"/>
    <n v="3.97"/>
    <n v="42.96"/>
    <n v="3.12"/>
    <n v="211.71"/>
  </r>
  <r>
    <s v="CMP0411"/>
    <s v="Team-oriented hybrid customer loyalty"/>
    <x v="4"/>
    <s v="Retention"/>
    <s v="USA"/>
    <d v="2024-10-07T00:00:00"/>
    <d v="2024-11-03T00:00:00"/>
    <n v="122446"/>
    <n v="2779"/>
    <n v="109"/>
    <n v="11855.34"/>
    <n v="39657.410000000003"/>
    <n v="2.27"/>
    <n v="3.95"/>
    <n v="4.2699999999999996"/>
    <n v="108.76"/>
    <n v="3.35"/>
    <n v="234.51"/>
  </r>
  <r>
    <s v="CMP0412"/>
    <s v="Proactive mobile database"/>
    <x v="3"/>
    <s v="Lead Generation"/>
    <s v="USA"/>
    <d v="2024-04-01T00:00:00"/>
    <d v="2024-05-10T00:00:00"/>
    <n v="159949"/>
    <n v="12396"/>
    <n v="1352"/>
    <n v="2053.8200000000002"/>
    <n v="10321.85"/>
    <n v="7.75"/>
    <n v="10.91"/>
    <n v="0.17"/>
    <n v="1.52"/>
    <n v="5.03"/>
    <n v="402.57"/>
  </r>
  <r>
    <s v="CMP0413"/>
    <s v="Customer-focused fresh-thinking hub"/>
    <x v="3"/>
    <s v="Conversion"/>
    <s v="India"/>
    <d v="2024-08-01T00:00:00"/>
    <d v="2024-09-11T00:00:00"/>
    <n v="448865"/>
    <n v="27425"/>
    <n v="3510"/>
    <n v="3067.87"/>
    <n v="15346.12"/>
    <n v="6.11"/>
    <n v="12.8"/>
    <n v="0.11"/>
    <n v="0.87"/>
    <n v="5"/>
    <n v="400.22"/>
  </r>
  <r>
    <s v="CMP0414"/>
    <s v="Sharable user-facing website"/>
    <x v="4"/>
    <s v="Retention"/>
    <s v="India"/>
    <d v="2024-05-16T00:00:00"/>
    <d v="2024-06-02T00:00:00"/>
    <n v="324061"/>
    <n v="4796"/>
    <n v="135"/>
    <n v="3163.31"/>
    <n v="7132.38"/>
    <n v="1.48"/>
    <n v="2.83"/>
    <n v="0.66"/>
    <n v="23.43"/>
    <n v="2.25"/>
    <n v="125.47"/>
  </r>
  <r>
    <s v="CMP0415"/>
    <s v="Down-sized regional alliance"/>
    <x v="4"/>
    <s v="Conversion"/>
    <s v="USA"/>
    <d v="2024-07-02T00:00:00"/>
    <d v="2024-08-06T00:00:00"/>
    <n v="490077"/>
    <n v="6665"/>
    <n v="283"/>
    <n v="5050.01"/>
    <n v="22398.18"/>
    <n v="1.36"/>
    <n v="4.25"/>
    <n v="0.76"/>
    <n v="17.84"/>
    <n v="4.4400000000000004"/>
    <n v="343.53"/>
  </r>
  <r>
    <s v="CMP0416"/>
    <s v="Customer-focused multimedia emulation"/>
    <x v="0"/>
    <s v="Lead Generation"/>
    <s v="Australia"/>
    <d v="2024-01-25T00:00:00"/>
    <d v="2024-02-25T00:00:00"/>
    <n v="253888"/>
    <n v="8759"/>
    <n v="762"/>
    <n v="20976.44"/>
    <n v="69104.240000000005"/>
    <n v="3.45"/>
    <n v="8.7100000000000009"/>
    <n v="2.39"/>
    <n v="27.53"/>
    <n v="3.29"/>
    <n v="229.44"/>
  </r>
  <r>
    <s v="CMP0417"/>
    <s v="Centralized coherent workforce"/>
    <x v="1"/>
    <s v="Retention"/>
    <s v="UK"/>
    <d v="2024-08-14T00:00:00"/>
    <d v="2024-09-04T00:00:00"/>
    <n v="339472"/>
    <n v="3021"/>
    <n v="308"/>
    <n v="7249.4"/>
    <n v="42842.68"/>
    <n v="0.89"/>
    <n v="10.210000000000001"/>
    <n v="2.4"/>
    <n v="23.54"/>
    <n v="5.91"/>
    <n v="490.98"/>
  </r>
  <r>
    <s v="CMP0418"/>
    <s v="Multi-tiered scalable algorithm"/>
    <x v="4"/>
    <s v="Lead Generation"/>
    <s v="USA"/>
    <d v="2024-09-20T00:00:00"/>
    <d v="2024-10-04T00:00:00"/>
    <n v="204233"/>
    <n v="4840"/>
    <n v="239"/>
    <n v="3430.86"/>
    <n v="21721.25"/>
    <n v="2.37"/>
    <n v="4.9400000000000004"/>
    <n v="0.71"/>
    <n v="14.36"/>
    <n v="6.33"/>
    <n v="533.11"/>
  </r>
  <r>
    <s v="CMP0419"/>
    <s v="Polarized methodical customer loyalty"/>
    <x v="1"/>
    <s v="Awareness"/>
    <s v="Canada"/>
    <d v="2024-06-18T00:00:00"/>
    <d v="2024-07-24T00:00:00"/>
    <n v="196335"/>
    <n v="3435"/>
    <n v="203"/>
    <n v="13343.78"/>
    <n v="42000.52"/>
    <n v="1.75"/>
    <n v="5.91"/>
    <n v="3.88"/>
    <n v="65.73"/>
    <n v="3.15"/>
    <n v="214.76"/>
  </r>
  <r>
    <s v="CMP0420"/>
    <s v="Cross-platform empowering benchmark"/>
    <x v="2"/>
    <s v="Awareness"/>
    <s v="USA"/>
    <d v="2024-06-03T00:00:00"/>
    <d v="2024-07-11T00:00:00"/>
    <n v="219151"/>
    <n v="7210"/>
    <n v="423"/>
    <n v="12380.5"/>
    <n v="71734.23"/>
    <n v="3.29"/>
    <n v="5.87"/>
    <n v="1.72"/>
    <n v="29.27"/>
    <n v="5.79"/>
    <n v="479.41"/>
  </r>
  <r>
    <s v="CMP0421"/>
    <s v="Realigned 24/7 archive"/>
    <x v="3"/>
    <s v="Conversion"/>
    <s v="India"/>
    <d v="2024-09-15T00:00:00"/>
    <d v="2024-10-02T00:00:00"/>
    <n v="461058"/>
    <n v="38037"/>
    <n v="5039"/>
    <n v="4806.4399999999996"/>
    <n v="20873.060000000001"/>
    <n v="8.25"/>
    <n v="13.25"/>
    <n v="0.13"/>
    <n v="0.95"/>
    <n v="4.34"/>
    <n v="334.27"/>
  </r>
  <r>
    <s v="CMP0422"/>
    <s v="Enhanced modular neural-net"/>
    <x v="1"/>
    <s v="Retention"/>
    <s v="India"/>
    <d v="2024-04-21T00:00:00"/>
    <d v="2024-05-31T00:00:00"/>
    <n v="233187"/>
    <n v="2751"/>
    <n v="178"/>
    <n v="9310.14"/>
    <n v="33736.129999999997"/>
    <n v="1.18"/>
    <n v="6.49"/>
    <n v="3.38"/>
    <n v="52.3"/>
    <n v="3.62"/>
    <n v="262.36"/>
  </r>
  <r>
    <s v="CMP0423"/>
    <s v="Balanced maximized flexibility"/>
    <x v="1"/>
    <s v="Awareness"/>
    <s v="India"/>
    <d v="2024-05-04T00:00:00"/>
    <d v="2024-05-13T00:00:00"/>
    <n v="400716"/>
    <n v="5569"/>
    <n v="372"/>
    <n v="14276.23"/>
    <n v="87566.58"/>
    <n v="1.39"/>
    <n v="6.68"/>
    <n v="2.56"/>
    <n v="38.380000000000003"/>
    <n v="6.13"/>
    <n v="513.37"/>
  </r>
  <r>
    <s v="CMP0424"/>
    <s v="Profound modular orchestration"/>
    <x v="4"/>
    <s v="Retention"/>
    <s v="India"/>
    <d v="2024-07-10T00:00:00"/>
    <d v="2024-08-18T00:00:00"/>
    <n v="252310"/>
    <n v="4718"/>
    <n v="190"/>
    <n v="2808.82"/>
    <n v="12150.69"/>
    <n v="1.87"/>
    <n v="4.03"/>
    <n v="0.6"/>
    <n v="14.78"/>
    <n v="4.33"/>
    <n v="332.59"/>
  </r>
  <r>
    <s v="CMP0425"/>
    <s v="Compatible static website"/>
    <x v="3"/>
    <s v="Retention"/>
    <s v="Canada"/>
    <d v="2024-02-19T00:00:00"/>
    <d v="2024-03-07T00:00:00"/>
    <n v="72990"/>
    <n v="4218"/>
    <n v="612"/>
    <n v="1941.41"/>
    <n v="4602.22"/>
    <n v="5.78"/>
    <n v="14.52"/>
    <n v="0.46"/>
    <n v="3.17"/>
    <n v="2.37"/>
    <n v="137.06"/>
  </r>
  <r>
    <s v="CMP0426"/>
    <s v="Optional client-server productivity"/>
    <x v="3"/>
    <s v="Awareness"/>
    <s v="India"/>
    <d v="2024-02-23T00:00:00"/>
    <d v="2024-03-14T00:00:00"/>
    <n v="160510"/>
    <n v="12872"/>
    <n v="2026"/>
    <n v="4392.28"/>
    <n v="17169.169999999998"/>
    <n v="8.02"/>
    <n v="15.74"/>
    <n v="0.34"/>
    <n v="2.17"/>
    <n v="3.91"/>
    <n v="290.89"/>
  </r>
  <r>
    <s v="CMP0427"/>
    <s v="Re-engineered asynchronous capability"/>
    <x v="3"/>
    <s v="Retention"/>
    <s v="India"/>
    <d v="2024-02-07T00:00:00"/>
    <d v="2024-02-17T00:00:00"/>
    <n v="441585"/>
    <n v="35856"/>
    <n v="2954"/>
    <n v="3725.91"/>
    <n v="8087.04"/>
    <n v="8.1199999999999992"/>
    <n v="8.24"/>
    <n v="0.1"/>
    <n v="1.26"/>
    <n v="2.17"/>
    <n v="117.05"/>
  </r>
  <r>
    <s v="CMP0428"/>
    <s v="Programmable heuristic hub"/>
    <x v="2"/>
    <s v="Conversion"/>
    <s v="Australia"/>
    <d v="2024-11-18T00:00:00"/>
    <d v="2024-12-20T00:00:00"/>
    <n v="86931"/>
    <n v="2799"/>
    <n v="87"/>
    <n v="6879.72"/>
    <n v="25772.44"/>
    <n v="3.22"/>
    <n v="3.14"/>
    <n v="2.46"/>
    <n v="79.08"/>
    <n v="3.75"/>
    <n v="274.61"/>
  </r>
  <r>
    <s v="CMP0429"/>
    <s v="Optimized mobile orchestration"/>
    <x v="1"/>
    <s v="Conversion"/>
    <s v="India"/>
    <d v="2024-10-26T00:00:00"/>
    <d v="2024-11-04T00:00:00"/>
    <n v="254211"/>
    <n v="4931"/>
    <n v="430"/>
    <n v="14262.76"/>
    <n v="68212.679999999993"/>
    <n v="1.94"/>
    <n v="8.74"/>
    <n v="2.89"/>
    <n v="33.17"/>
    <n v="4.78"/>
    <n v="378.26"/>
  </r>
  <r>
    <s v="CMP0430"/>
    <s v="Adaptive systematic approach"/>
    <x v="0"/>
    <s v="Conversion"/>
    <s v="Australia"/>
    <d v="2024-08-12T00:00:00"/>
    <d v="2024-09-12T00:00:00"/>
    <n v="105645"/>
    <n v="3866"/>
    <n v="313"/>
    <n v="17131.32"/>
    <n v="55965.08"/>
    <n v="3.66"/>
    <n v="8.1199999999999992"/>
    <n v="4.43"/>
    <n v="54.73"/>
    <n v="3.27"/>
    <n v="226.68"/>
  </r>
  <r>
    <s v="CMP0431"/>
    <s v="Secured interactive budgetary management"/>
    <x v="1"/>
    <s v="Awareness"/>
    <s v="Canada"/>
    <d v="2024-10-06T00:00:00"/>
    <d v="2024-10-31T00:00:00"/>
    <n v="131958"/>
    <n v="2256"/>
    <n v="134"/>
    <n v="10255.879999999999"/>
    <n v="57316.84"/>
    <n v="1.71"/>
    <n v="5.95"/>
    <n v="4.55"/>
    <n v="76.540000000000006"/>
    <n v="5.59"/>
    <n v="458.87"/>
  </r>
  <r>
    <s v="CMP0432"/>
    <s v="Optional bi-directional database"/>
    <x v="2"/>
    <s v="Conversion"/>
    <s v="UK"/>
    <d v="2024-11-01T00:00:00"/>
    <d v="2024-12-03T00:00:00"/>
    <n v="55845"/>
    <n v="1764"/>
    <n v="84"/>
    <n v="4848.53"/>
    <n v="9806.7999999999993"/>
    <n v="3.16"/>
    <n v="4.78"/>
    <n v="2.75"/>
    <n v="57.72"/>
    <n v="2.02"/>
    <n v="102.26"/>
  </r>
  <r>
    <s v="CMP0433"/>
    <s v="Mandatory bandwidth-monitored info-mediaries"/>
    <x v="3"/>
    <s v="Awareness"/>
    <s v="UK"/>
    <d v="2024-11-26T00:00:00"/>
    <d v="2025-01-04T00:00:00"/>
    <n v="160128"/>
    <n v="13594"/>
    <n v="2316"/>
    <n v="2047.33"/>
    <n v="7896.44"/>
    <n v="8.49"/>
    <n v="17.04"/>
    <n v="0.15"/>
    <n v="0.88"/>
    <n v="3.86"/>
    <n v="285.69"/>
  </r>
  <r>
    <s v="CMP0434"/>
    <s v="Down-sized composite array"/>
    <x v="2"/>
    <s v="Lead Generation"/>
    <s v="USA"/>
    <d v="2024-10-17T00:00:00"/>
    <d v="2024-10-27T00:00:00"/>
    <n v="165756"/>
    <n v="5552"/>
    <n v="180"/>
    <n v="4719.34"/>
    <n v="23688.26"/>
    <n v="3.35"/>
    <n v="3.26"/>
    <n v="0.85"/>
    <n v="26.22"/>
    <n v="5.0199999999999996"/>
    <n v="401.94"/>
  </r>
  <r>
    <s v="CMP0435"/>
    <s v="Realigned tertiary firmware"/>
    <x v="3"/>
    <s v="Retention"/>
    <s v="Australia"/>
    <d v="2024-09-06T00:00:00"/>
    <d v="2024-10-04T00:00:00"/>
    <n v="88348"/>
    <n v="5071"/>
    <n v="439"/>
    <n v="941.91"/>
    <n v="4959.3"/>
    <n v="5.74"/>
    <n v="8.67"/>
    <n v="0.19"/>
    <n v="2.15"/>
    <n v="5.27"/>
    <n v="426.52"/>
  </r>
  <r>
    <s v="CMP0436"/>
    <s v="Adaptive composite archive"/>
    <x v="4"/>
    <s v="Lead Generation"/>
    <s v="USA"/>
    <d v="2024-06-17T00:00:00"/>
    <d v="2024-07-13T00:00:00"/>
    <n v="102452"/>
    <n v="1987"/>
    <n v="34"/>
    <n v="4918.7299999999996"/>
    <n v="20591.650000000001"/>
    <n v="1.94"/>
    <n v="1.74"/>
    <n v="2.48"/>
    <n v="144.66999999999999"/>
    <n v="4.1900000000000004"/>
    <n v="318.64"/>
  </r>
  <r>
    <s v="CMP0437"/>
    <s v="Inverse global data-warehouse"/>
    <x v="3"/>
    <s v="Lead Generation"/>
    <s v="Australia"/>
    <d v="2024-05-06T00:00:00"/>
    <d v="2024-05-27T00:00:00"/>
    <n v="347198"/>
    <n v="21491"/>
    <n v="2398"/>
    <n v="2427.38"/>
    <n v="4907.54"/>
    <n v="6.19"/>
    <n v="11.16"/>
    <n v="0.11"/>
    <n v="1.01"/>
    <n v="2.02"/>
    <n v="102.17"/>
  </r>
  <r>
    <s v="CMP0438"/>
    <s v="Face-to-face human-resource installation"/>
    <x v="1"/>
    <s v="Conversion"/>
    <s v="UK"/>
    <d v="2024-06-05T00:00:00"/>
    <d v="2024-07-13T00:00:00"/>
    <n v="120414"/>
    <n v="2360"/>
    <n v="172"/>
    <n v="11679.26"/>
    <n v="46765.05"/>
    <n v="1.96"/>
    <n v="7.32"/>
    <n v="4.95"/>
    <n v="67.900000000000006"/>
    <n v="4"/>
    <n v="300.41000000000003"/>
  </r>
  <r>
    <s v="CMP0439"/>
    <s v="Organic 6thgeneration alliance"/>
    <x v="3"/>
    <s v="Awareness"/>
    <s v="USA"/>
    <d v="2024-10-02T00:00:00"/>
    <d v="2024-10-21T00:00:00"/>
    <n v="388454"/>
    <n v="29677"/>
    <n v="4872"/>
    <n v="4364.21"/>
    <n v="11477.91"/>
    <n v="7.64"/>
    <n v="16.420000000000002"/>
    <n v="0.15"/>
    <n v="0.9"/>
    <n v="2.63"/>
    <n v="163"/>
  </r>
  <r>
    <s v="CMP0440"/>
    <s v="Progressive global methodology"/>
    <x v="4"/>
    <s v="Awareness"/>
    <s v="India"/>
    <d v="2024-10-29T00:00:00"/>
    <d v="2024-11-18T00:00:00"/>
    <n v="59767"/>
    <n v="2038"/>
    <n v="75"/>
    <n v="12658.03"/>
    <n v="58290.91"/>
    <n v="3.41"/>
    <n v="3.71"/>
    <n v="6.21"/>
    <n v="168.77"/>
    <n v="4.6100000000000003"/>
    <n v="360.51"/>
  </r>
  <r>
    <s v="CMP0441"/>
    <s v="Stand-alone radical groupware"/>
    <x v="0"/>
    <s v="Conversion"/>
    <s v="Australia"/>
    <d v="2024-10-28T00:00:00"/>
    <d v="2024-11-22T00:00:00"/>
    <n v="332946"/>
    <n v="14616"/>
    <n v="1264"/>
    <n v="12316.37"/>
    <n v="37009.21"/>
    <n v="4.3899999999999997"/>
    <n v="8.65"/>
    <n v="0.84"/>
    <n v="9.74"/>
    <n v="3"/>
    <n v="200.49"/>
  </r>
  <r>
    <s v="CMP0442"/>
    <s v="Adaptive multi-state policy"/>
    <x v="2"/>
    <s v="Retention"/>
    <s v="Australia"/>
    <d v="2024-11-10T00:00:00"/>
    <d v="2024-11-27T00:00:00"/>
    <n v="317602"/>
    <n v="5621"/>
    <n v="214"/>
    <n v="3158.88"/>
    <n v="9713.44"/>
    <n v="1.77"/>
    <n v="3.82"/>
    <n v="0.56000000000000005"/>
    <n v="14.76"/>
    <n v="3.07"/>
    <n v="207.5"/>
  </r>
  <r>
    <s v="CMP0443"/>
    <s v="Triple-buffered 24hour framework"/>
    <x v="3"/>
    <s v="Lead Generation"/>
    <s v="Canada"/>
    <d v="2024-09-04T00:00:00"/>
    <d v="2024-10-03T00:00:00"/>
    <n v="133478"/>
    <n v="6767"/>
    <n v="1183"/>
    <n v="3467.36"/>
    <n v="22034.41"/>
    <n v="5.07"/>
    <n v="17.489999999999998"/>
    <n v="0.51"/>
    <n v="2.93"/>
    <n v="6.35"/>
    <n v="535.48"/>
  </r>
  <r>
    <s v="CMP0444"/>
    <s v="Exclusive neutral implementation"/>
    <x v="0"/>
    <s v="Lead Generation"/>
    <s v="Canada"/>
    <d v="2024-07-03T00:00:00"/>
    <d v="2024-08-03T00:00:00"/>
    <n v="171503"/>
    <n v="4716"/>
    <n v="293"/>
    <n v="5856.17"/>
    <n v="17161.41"/>
    <n v="2.75"/>
    <n v="6.22"/>
    <n v="1.24"/>
    <n v="19.989999999999998"/>
    <n v="2.93"/>
    <n v="193.05"/>
  </r>
  <r>
    <s v="CMP0445"/>
    <s v="Front-line well-modulated productivity"/>
    <x v="1"/>
    <s v="Retention"/>
    <s v="India"/>
    <d v="2024-05-20T00:00:00"/>
    <d v="2024-06-12T00:00:00"/>
    <n v="70921"/>
    <n v="1751"/>
    <n v="127"/>
    <n v="15259.78"/>
    <n v="66321.72"/>
    <n v="2.4700000000000002"/>
    <n v="7.27"/>
    <n v="8.7100000000000009"/>
    <n v="120.16"/>
    <n v="4.3499999999999996"/>
    <n v="334.62"/>
  </r>
  <r>
    <s v="CMP0446"/>
    <s v="Multi-channeled contextually-based function"/>
    <x v="3"/>
    <s v="Lead Generation"/>
    <s v="Canada"/>
    <d v="2024-05-08T00:00:00"/>
    <d v="2024-06-08T00:00:00"/>
    <n v="392714"/>
    <n v="24623"/>
    <n v="3417"/>
    <n v="4542.0200000000004"/>
    <n v="10674.97"/>
    <n v="6.27"/>
    <n v="13.88"/>
    <n v="0.18"/>
    <n v="1.33"/>
    <n v="2.35"/>
    <n v="135.03"/>
  </r>
  <r>
    <s v="CMP0447"/>
    <s v="Cross-group logistical protocol"/>
    <x v="2"/>
    <s v="Retention"/>
    <s v="UK"/>
    <d v="2024-09-13T00:00:00"/>
    <d v="2024-09-28T00:00:00"/>
    <n v="478467"/>
    <n v="19617"/>
    <n v="869"/>
    <n v="10231.65"/>
    <n v="48282.64"/>
    <n v="4.0999999999999996"/>
    <n v="4.43"/>
    <n v="0.52"/>
    <n v="11.77"/>
    <n v="4.72"/>
    <n v="371.89"/>
  </r>
  <r>
    <s v="CMP0448"/>
    <s v="Configurable radical leverage"/>
    <x v="1"/>
    <s v="Lead Generation"/>
    <s v="USA"/>
    <d v="2024-11-04T00:00:00"/>
    <d v="2024-11-18T00:00:00"/>
    <n v="90416"/>
    <n v="1509"/>
    <n v="105"/>
    <n v="6403.85"/>
    <n v="17342.32"/>
    <n v="1.67"/>
    <n v="6.97"/>
    <n v="4.24"/>
    <n v="60.99"/>
    <n v="2.71"/>
    <n v="170.81"/>
  </r>
  <r>
    <s v="CMP0449"/>
    <s v="Innovative optimizing methodology"/>
    <x v="2"/>
    <s v="Retention"/>
    <s v="UK"/>
    <d v="2024-07-29T00:00:00"/>
    <d v="2024-08-06T00:00:00"/>
    <n v="427621"/>
    <n v="7868"/>
    <n v="423"/>
    <n v="10185.32"/>
    <n v="47448.91"/>
    <n v="1.84"/>
    <n v="5.38"/>
    <n v="1.29"/>
    <n v="24.08"/>
    <n v="4.66"/>
    <n v="365.86"/>
  </r>
  <r>
    <s v="CMP0450"/>
    <s v="Open-architected directional solution"/>
    <x v="2"/>
    <s v="Awareness"/>
    <s v="USA"/>
    <d v="2024-03-16T00:00:00"/>
    <d v="2024-03-26T00:00:00"/>
    <n v="350672"/>
    <n v="11502"/>
    <n v="307"/>
    <n v="10689.64"/>
    <n v="64229.66"/>
    <n v="3.28"/>
    <n v="2.67"/>
    <n v="0.93"/>
    <n v="34.82"/>
    <n v="6.01"/>
    <n v="500.86"/>
  </r>
  <r>
    <s v="CMP0451"/>
    <s v="Managed next generation core"/>
    <x v="2"/>
    <s v="Conversion"/>
    <s v="USA"/>
    <d v="2024-05-25T00:00:00"/>
    <d v="2024-06-06T00:00:00"/>
    <n v="320868"/>
    <n v="14021"/>
    <n v="701"/>
    <n v="11454.07"/>
    <n v="23867.88"/>
    <n v="4.37"/>
    <n v="5"/>
    <n v="0.82"/>
    <n v="16.34"/>
    <n v="2.08"/>
    <n v="108.38"/>
  </r>
  <r>
    <s v="CMP0452"/>
    <s v="Sharable leadingedge customer loyalty"/>
    <x v="2"/>
    <s v="Retention"/>
    <s v="Australia"/>
    <d v="2024-10-25T00:00:00"/>
    <d v="2024-11-12T00:00:00"/>
    <n v="297156"/>
    <n v="12183"/>
    <n v="347"/>
    <n v="15455.45"/>
    <n v="72698.95"/>
    <n v="4.0999999999999996"/>
    <n v="2.85"/>
    <n v="1.27"/>
    <n v="44.54"/>
    <n v="4.7"/>
    <n v="370.38"/>
  </r>
  <r>
    <s v="CMP0453"/>
    <s v="Robust human-resource ability"/>
    <x v="3"/>
    <s v="Conversion"/>
    <s v="USA"/>
    <d v="2024-07-12T00:00:00"/>
    <d v="2024-08-12T00:00:00"/>
    <n v="429682"/>
    <n v="34847"/>
    <n v="6000"/>
    <n v="3184.4"/>
    <n v="7355.3"/>
    <n v="8.11"/>
    <n v="17.22"/>
    <n v="0.09"/>
    <n v="0.53"/>
    <n v="2.31"/>
    <n v="130.97999999999999"/>
  </r>
  <r>
    <s v="CMP0454"/>
    <s v="Total asynchronous support"/>
    <x v="2"/>
    <s v="Awareness"/>
    <s v="India"/>
    <d v="2024-11-06T00:00:00"/>
    <d v="2024-11-19T00:00:00"/>
    <n v="156088"/>
    <n v="4791"/>
    <n v="313"/>
    <n v="13265.52"/>
    <n v="75869.67"/>
    <n v="3.07"/>
    <n v="6.55"/>
    <n v="2.77"/>
    <n v="42.38"/>
    <n v="5.72"/>
    <n v="471.93"/>
  </r>
  <r>
    <s v="CMP0455"/>
    <s v="Decentralized bottom-line data-warehouse"/>
    <x v="2"/>
    <s v="Retention"/>
    <s v="Australia"/>
    <d v="2024-09-03T00:00:00"/>
    <d v="2024-09-18T00:00:00"/>
    <n v="364475"/>
    <n v="5904"/>
    <n v="349"/>
    <n v="10549.94"/>
    <n v="26678.94"/>
    <n v="1.62"/>
    <n v="5.92"/>
    <n v="1.79"/>
    <n v="30.23"/>
    <n v="2.5299999999999998"/>
    <n v="152.88"/>
  </r>
  <r>
    <s v="CMP0456"/>
    <s v="Organic heuristic definition"/>
    <x v="3"/>
    <s v="Awareness"/>
    <s v="Canada"/>
    <d v="2024-09-03T00:00:00"/>
    <d v="2024-10-04T00:00:00"/>
    <n v="323701"/>
    <n v="21105"/>
    <n v="3535"/>
    <n v="3639.39"/>
    <n v="14303.91"/>
    <n v="6.52"/>
    <n v="16.75"/>
    <n v="0.17"/>
    <n v="1.03"/>
    <n v="3.93"/>
    <n v="293.02999999999997"/>
  </r>
  <r>
    <s v="CMP0457"/>
    <s v="Fundamental non-volatile forecast"/>
    <x v="4"/>
    <s v="Awareness"/>
    <s v="Canada"/>
    <d v="2024-11-02T00:00:00"/>
    <d v="2024-12-13T00:00:00"/>
    <n v="120193"/>
    <n v="2235"/>
    <n v="93"/>
    <n v="13876.07"/>
    <n v="32985.9"/>
    <n v="1.86"/>
    <n v="4.18"/>
    <n v="6.21"/>
    <n v="149.21"/>
    <n v="2.38"/>
    <n v="137.72"/>
  </r>
  <r>
    <s v="CMP0458"/>
    <s v="Automated neutral infrastructure"/>
    <x v="1"/>
    <s v="Conversion"/>
    <s v="USA"/>
    <d v="2024-01-04T00:00:00"/>
    <d v="2024-02-04T00:00:00"/>
    <n v="52867"/>
    <n v="1062"/>
    <n v="111"/>
    <n v="13247.79"/>
    <n v="33519.94"/>
    <n v="2.0099999999999998"/>
    <n v="10.53"/>
    <n v="12.47"/>
    <n v="119.35"/>
    <n v="2.5299999999999998"/>
    <n v="153.02000000000001"/>
  </r>
  <r>
    <s v="CMP0459"/>
    <s v="Optional disintermediate benchmark"/>
    <x v="2"/>
    <s v="Conversion"/>
    <s v="Canada"/>
    <d v="2024-10-01T00:00:00"/>
    <d v="2024-11-04T00:00:00"/>
    <n v="239933"/>
    <n v="4366"/>
    <n v="180"/>
    <n v="11780.55"/>
    <n v="37413.410000000003"/>
    <n v="1.82"/>
    <n v="4.13"/>
    <n v="2.7"/>
    <n v="65.45"/>
    <n v="3.18"/>
    <n v="217.59"/>
  </r>
  <r>
    <s v="CMP0460"/>
    <s v="Extended even-keeled encoding"/>
    <x v="3"/>
    <s v="Conversion"/>
    <s v="Australia"/>
    <d v="2024-10-12T00:00:00"/>
    <d v="2024-11-18T00:00:00"/>
    <n v="194473"/>
    <n v="19350"/>
    <n v="2316"/>
    <n v="1416.62"/>
    <n v="6352.79"/>
    <n v="9.9499999999999993"/>
    <n v="11.97"/>
    <n v="7.0000000000000007E-2"/>
    <n v="0.61"/>
    <n v="4.4800000000000004"/>
    <n v="348.45"/>
  </r>
  <r>
    <s v="CMP0461"/>
    <s v="Front-line zero administration standardization"/>
    <x v="2"/>
    <s v="Conversion"/>
    <s v="Australia"/>
    <d v="2024-07-22T00:00:00"/>
    <d v="2024-08-06T00:00:00"/>
    <n v="340933"/>
    <n v="10057"/>
    <n v="697"/>
    <n v="11664.77"/>
    <n v="63968.14"/>
    <n v="2.95"/>
    <n v="6.94"/>
    <n v="1.1599999999999999"/>
    <n v="16.739999999999998"/>
    <n v="5.48"/>
    <n v="448.39"/>
  </r>
  <r>
    <s v="CMP0462"/>
    <s v="Fundamental zero administration knowledge user"/>
    <x v="0"/>
    <s v="Lead Generation"/>
    <s v="Canada"/>
    <d v="2024-06-22T00:00:00"/>
    <d v="2024-08-03T00:00:00"/>
    <n v="460574"/>
    <n v="24410"/>
    <n v="1213"/>
    <n v="9289.16"/>
    <n v="35322.25"/>
    <n v="5.3"/>
    <n v="4.97"/>
    <n v="0.38"/>
    <n v="7.66"/>
    <n v="3.8"/>
    <n v="280.25"/>
  </r>
  <r>
    <s v="CMP0463"/>
    <s v="Virtual motivating interface"/>
    <x v="3"/>
    <s v="Awareness"/>
    <s v="USA"/>
    <d v="2024-11-03T00:00:00"/>
    <d v="2024-12-07T00:00:00"/>
    <n v="254002"/>
    <n v="24866"/>
    <n v="2001"/>
    <n v="909.9"/>
    <n v="2414.85"/>
    <n v="9.7899999999999991"/>
    <n v="8.0500000000000007"/>
    <n v="0.04"/>
    <n v="0.45"/>
    <n v="2.65"/>
    <n v="165.4"/>
  </r>
  <r>
    <s v="CMP0464"/>
    <s v="Mandatory global project"/>
    <x v="0"/>
    <s v="Awareness"/>
    <s v="UK"/>
    <d v="2024-07-24T00:00:00"/>
    <d v="2024-09-02T00:00:00"/>
    <n v="166271"/>
    <n v="6617"/>
    <n v="506"/>
    <n v="19489.89"/>
    <n v="120605.05"/>
    <n v="3.98"/>
    <n v="7.65"/>
    <n v="2.95"/>
    <n v="38.520000000000003"/>
    <n v="6.19"/>
    <n v="518.80999999999995"/>
  </r>
  <r>
    <s v="CMP0465"/>
    <s v="Monitored multimedia archive"/>
    <x v="4"/>
    <s v="Awareness"/>
    <s v="USA"/>
    <d v="2024-09-22T00:00:00"/>
    <d v="2024-10-17T00:00:00"/>
    <n v="385697"/>
    <n v="9603"/>
    <n v="147"/>
    <n v="13132.1"/>
    <n v="81266.86"/>
    <n v="2.4900000000000002"/>
    <n v="1.54"/>
    <n v="1.37"/>
    <n v="89.33"/>
    <n v="6.19"/>
    <n v="518.84"/>
  </r>
  <r>
    <s v="CMP0466"/>
    <s v="Fundamental foreground success"/>
    <x v="2"/>
    <s v="Awareness"/>
    <s v="Australia"/>
    <d v="2024-05-02T00:00:00"/>
    <d v="2024-05-09T00:00:00"/>
    <n v="317674"/>
    <n v="9689"/>
    <n v="306"/>
    <n v="5542.24"/>
    <n v="11983.85"/>
    <n v="3.05"/>
    <n v="3.16"/>
    <n v="0.56999999999999995"/>
    <n v="18.11"/>
    <n v="2.16"/>
    <n v="116.23"/>
  </r>
  <r>
    <s v="CMP0467"/>
    <s v="Public-key multi-state functionalities"/>
    <x v="2"/>
    <s v="Awareness"/>
    <s v="UK"/>
    <d v="2024-01-08T00:00:00"/>
    <d v="2024-01-19T00:00:00"/>
    <n v="458773"/>
    <n v="12386"/>
    <n v="662"/>
    <n v="9081.76"/>
    <n v="26349.79"/>
    <n v="2.7"/>
    <n v="5.35"/>
    <n v="0.73"/>
    <n v="13.72"/>
    <n v="2.9"/>
    <n v="190.14"/>
  </r>
  <r>
    <s v="CMP0468"/>
    <s v="Fully-configurable dedicated standardization"/>
    <x v="0"/>
    <s v="Conversion"/>
    <s v="Australia"/>
    <d v="2024-04-09T00:00:00"/>
    <d v="2024-05-15T00:00:00"/>
    <n v="355624"/>
    <n v="13833"/>
    <n v="1352"/>
    <n v="10530.16"/>
    <n v="49793.29"/>
    <n v="3.89"/>
    <n v="9.7799999999999994"/>
    <n v="0.76"/>
    <n v="7.79"/>
    <n v="4.7300000000000004"/>
    <n v="372.86"/>
  </r>
  <r>
    <s v="CMP0469"/>
    <s v="Enhanced tangible budgetary management"/>
    <x v="1"/>
    <s v="Awareness"/>
    <s v="UK"/>
    <d v="2024-02-29T00:00:00"/>
    <d v="2024-04-08T00:00:00"/>
    <n v="141768"/>
    <n v="2112"/>
    <n v="121"/>
    <n v="5158.18"/>
    <n v="17146.48"/>
    <n v="1.49"/>
    <n v="5.75"/>
    <n v="2.44"/>
    <n v="42.63"/>
    <n v="3.32"/>
    <n v="232.41"/>
  </r>
  <r>
    <s v="CMP0470"/>
    <s v="Team-oriented optimizing contingency"/>
    <x v="4"/>
    <s v="Conversion"/>
    <s v="Canada"/>
    <d v="2024-08-22T00:00:00"/>
    <d v="2024-09-27T00:00:00"/>
    <n v="247698"/>
    <n v="6588"/>
    <n v="276"/>
    <n v="11968.42"/>
    <n v="75707.13"/>
    <n v="2.66"/>
    <n v="4.1900000000000004"/>
    <n v="1.82"/>
    <n v="43.36"/>
    <n v="6.33"/>
    <n v="532.55999999999995"/>
  </r>
  <r>
    <s v="CMP0471"/>
    <s v="Progressive zero administration flexibility"/>
    <x v="3"/>
    <s v="Awareness"/>
    <s v="Canada"/>
    <d v="2024-04-27T00:00:00"/>
    <d v="2024-05-24T00:00:00"/>
    <n v="110958"/>
    <n v="6158"/>
    <n v="728"/>
    <n v="4048.95"/>
    <n v="12113.33"/>
    <n v="5.55"/>
    <n v="11.83"/>
    <n v="0.66"/>
    <n v="5.56"/>
    <n v="2.99"/>
    <n v="199.17"/>
  </r>
  <r>
    <s v="CMP0472"/>
    <s v="Face-to-face incremental hub"/>
    <x v="1"/>
    <s v="Conversion"/>
    <s v="Australia"/>
    <d v="2024-06-24T00:00:00"/>
    <d v="2024-07-05T00:00:00"/>
    <n v="330835"/>
    <n v="2712"/>
    <n v="293"/>
    <n v="7972.12"/>
    <n v="19280.91"/>
    <n v="0.82"/>
    <n v="10.83"/>
    <n v="2.94"/>
    <n v="27.21"/>
    <n v="2.42"/>
    <n v="141.85"/>
  </r>
  <r>
    <s v="CMP0473"/>
    <s v="Implemented scalable monitoring"/>
    <x v="3"/>
    <s v="Lead Generation"/>
    <s v="Canada"/>
    <d v="2024-04-07T00:00:00"/>
    <d v="2024-05-15T00:00:00"/>
    <n v="214559"/>
    <n v="13131"/>
    <n v="2224"/>
    <n v="1710.84"/>
    <n v="10713.33"/>
    <n v="6.12"/>
    <n v="16.940000000000001"/>
    <n v="0.13"/>
    <n v="0.77"/>
    <n v="6.26"/>
    <n v="526.20000000000005"/>
  </r>
  <r>
    <s v="CMP0474"/>
    <s v="Customizable fault-tolerant knowledge user"/>
    <x v="2"/>
    <s v="Lead Generation"/>
    <s v="USA"/>
    <d v="2024-03-20T00:00:00"/>
    <d v="2024-04-02T00:00:00"/>
    <n v="189148"/>
    <n v="4009"/>
    <n v="120"/>
    <n v="6745.43"/>
    <n v="32268.02"/>
    <n v="2.12"/>
    <n v="3.01"/>
    <n v="1.68"/>
    <n v="56.21"/>
    <n v="4.78"/>
    <n v="378.37"/>
  </r>
  <r>
    <s v="CMP0475"/>
    <s v="Open-architected scalable pricing structure"/>
    <x v="0"/>
    <s v="Awareness"/>
    <s v="Canada"/>
    <d v="2024-07-09T00:00:00"/>
    <d v="2024-08-05T00:00:00"/>
    <n v="371822"/>
    <n v="9407"/>
    <n v="859"/>
    <n v="24159.86"/>
    <n v="140514.9"/>
    <n v="2.5299999999999998"/>
    <n v="9.14"/>
    <n v="2.57"/>
    <n v="28.13"/>
    <n v="5.82"/>
    <n v="481.6"/>
  </r>
  <r>
    <s v="CMP0476"/>
    <s v="Ergonomic mobile customer loyalty"/>
    <x v="1"/>
    <s v="Conversion"/>
    <s v="Canada"/>
    <d v="2024-10-22T00:00:00"/>
    <d v="2024-11-06T00:00:00"/>
    <n v="145877"/>
    <n v="3603"/>
    <n v="411"/>
    <n v="8484.27"/>
    <n v="25447.87"/>
    <n v="2.4700000000000002"/>
    <n v="11.41"/>
    <n v="2.35"/>
    <n v="20.64"/>
    <n v="3"/>
    <n v="199.94"/>
  </r>
  <r>
    <s v="CMP0477"/>
    <s v="Realigned executive artificial intelligence"/>
    <x v="0"/>
    <s v="Retention"/>
    <s v="Canada"/>
    <d v="2024-08-22T00:00:00"/>
    <d v="2024-09-05T00:00:00"/>
    <n v="333518"/>
    <n v="8771"/>
    <n v="533"/>
    <n v="22208"/>
    <n v="121956.74"/>
    <n v="2.63"/>
    <n v="6.08"/>
    <n v="2.5299999999999998"/>
    <n v="41.67"/>
    <n v="5.49"/>
    <n v="449.16"/>
  </r>
  <r>
    <s v="CMP0478"/>
    <s v="Down-sized discrete core"/>
    <x v="3"/>
    <s v="Retention"/>
    <s v="UK"/>
    <d v="2024-07-04T00:00:00"/>
    <d v="2024-07-27T00:00:00"/>
    <n v="411344"/>
    <n v="16659"/>
    <n v="2455"/>
    <n v="2207.4299999999998"/>
    <n v="5415.63"/>
    <n v="4.05"/>
    <n v="14.74"/>
    <n v="0.13"/>
    <n v="0.9"/>
    <n v="2.4500000000000002"/>
    <n v="145.34"/>
  </r>
  <r>
    <s v="CMP0479"/>
    <s v="Synergistic logistical matrices"/>
    <x v="2"/>
    <s v="Conversion"/>
    <s v="USA"/>
    <d v="2024-04-17T00:00:00"/>
    <d v="2024-05-20T00:00:00"/>
    <n v="191247"/>
    <n v="5565"/>
    <n v="282"/>
    <n v="8488.86"/>
    <n v="36030.67"/>
    <n v="2.91"/>
    <n v="5.07"/>
    <n v="1.53"/>
    <n v="30.1"/>
    <n v="4.24"/>
    <n v="324.45"/>
  </r>
  <r>
    <s v="CMP0480"/>
    <s v="Front-line maximized secured line"/>
    <x v="4"/>
    <s v="Conversion"/>
    <s v="Canada"/>
    <d v="2024-02-21T00:00:00"/>
    <d v="2024-03-16T00:00:00"/>
    <n v="196606"/>
    <n v="4659"/>
    <n v="163"/>
    <n v="14740.91"/>
    <n v="74987.8"/>
    <n v="2.37"/>
    <n v="3.5"/>
    <n v="3.16"/>
    <n v="90.44"/>
    <n v="5.09"/>
    <n v="408.71"/>
  </r>
  <r>
    <s v="CMP0481"/>
    <s v="Optimized 5thgeneration migration"/>
    <x v="2"/>
    <s v="Retention"/>
    <s v="Canada"/>
    <d v="2024-03-31T00:00:00"/>
    <d v="2024-05-03T00:00:00"/>
    <n v="152793"/>
    <n v="2964"/>
    <n v="201"/>
    <n v="5243.22"/>
    <n v="29495.77"/>
    <n v="1.94"/>
    <n v="6.8"/>
    <n v="1.77"/>
    <n v="26.09"/>
    <n v="5.63"/>
    <n v="462.55"/>
  </r>
  <r>
    <s v="CMP0482"/>
    <s v="Ameliorated clear-thinking workforce"/>
    <x v="1"/>
    <s v="Lead Generation"/>
    <s v="Australia"/>
    <d v="2024-10-17T00:00:00"/>
    <d v="2024-10-27T00:00:00"/>
    <n v="329960"/>
    <n v="6665"/>
    <n v="699"/>
    <n v="8800.5499999999993"/>
    <n v="39863.17"/>
    <n v="2.02"/>
    <n v="10.5"/>
    <n v="1.32"/>
    <n v="12.59"/>
    <n v="4.53"/>
    <n v="352.96"/>
  </r>
  <r>
    <s v="CMP0483"/>
    <s v="Digitized secondary throughput"/>
    <x v="1"/>
    <s v="Awareness"/>
    <s v="USA"/>
    <d v="2024-06-20T00:00:00"/>
    <d v="2024-07-13T00:00:00"/>
    <n v="81476"/>
    <n v="953"/>
    <n v="64"/>
    <n v="17423.55"/>
    <n v="42397.74"/>
    <n v="1.17"/>
    <n v="6.78"/>
    <n v="18.28"/>
    <n v="272.24"/>
    <n v="2.4300000000000002"/>
    <n v="143.34"/>
  </r>
  <r>
    <s v="CMP0484"/>
    <s v="Team-oriented well-modulated customer loyalty"/>
    <x v="4"/>
    <s v="Conversion"/>
    <s v="Australia"/>
    <d v="2024-11-06T00:00:00"/>
    <d v="2024-11-25T00:00:00"/>
    <n v="342286"/>
    <n v="12390"/>
    <n v="297"/>
    <n v="2747.94"/>
    <n v="6995.07"/>
    <n v="3.62"/>
    <n v="2.4"/>
    <n v="0.22"/>
    <n v="9.25"/>
    <n v="2.5499999999999998"/>
    <n v="154.56"/>
  </r>
  <r>
    <s v="CMP0485"/>
    <s v="Face-to-face contextually-based hardware"/>
    <x v="3"/>
    <s v="Lead Generation"/>
    <s v="UK"/>
    <d v="2024-02-10T00:00:00"/>
    <d v="2024-03-12T00:00:00"/>
    <n v="236179"/>
    <n v="14052"/>
    <n v="1840"/>
    <n v="3986.35"/>
    <n v="15989.99"/>
    <n v="5.95"/>
    <n v="13.1"/>
    <n v="0.28000000000000003"/>
    <n v="2.17"/>
    <n v="4.01"/>
    <n v="301.12"/>
  </r>
  <r>
    <s v="CMP0486"/>
    <s v="Compatible reciprocal help-desk"/>
    <x v="3"/>
    <s v="Conversion"/>
    <s v="Canada"/>
    <d v="2024-08-03T00:00:00"/>
    <d v="2024-09-15T00:00:00"/>
    <n v="381199"/>
    <n v="37128"/>
    <n v="6192"/>
    <n v="3382.61"/>
    <n v="20899.63"/>
    <n v="9.74"/>
    <n v="16.68"/>
    <n v="0.09"/>
    <n v="0.55000000000000004"/>
    <n v="6.18"/>
    <n v="517.86"/>
  </r>
  <r>
    <s v="CMP0487"/>
    <s v="Customer-focused value-added synergy"/>
    <x v="1"/>
    <s v="Awareness"/>
    <s v="India"/>
    <d v="2024-11-05T00:00:00"/>
    <d v="2024-12-07T00:00:00"/>
    <n v="134934"/>
    <n v="1862"/>
    <n v="133"/>
    <n v="14448.21"/>
    <n v="75086.63"/>
    <n v="1.38"/>
    <n v="7.19"/>
    <n v="7.76"/>
    <n v="108.63"/>
    <n v="5.2"/>
    <n v="419.7"/>
  </r>
  <r>
    <s v="CMP0488"/>
    <s v="Grass-roots real-time contingency"/>
    <x v="4"/>
    <s v="Retention"/>
    <s v="UK"/>
    <d v="2024-01-12T00:00:00"/>
    <d v="2024-01-27T00:00:00"/>
    <n v="442112"/>
    <n v="12069"/>
    <n v="588"/>
    <n v="7674.86"/>
    <n v="21700.57"/>
    <n v="2.73"/>
    <n v="4.88"/>
    <n v="0.64"/>
    <n v="13.05"/>
    <n v="2.83"/>
    <n v="182.75"/>
  </r>
  <r>
    <s v="CMP0489"/>
    <s v="Proactive zero-defect matrix"/>
    <x v="2"/>
    <s v="Conversion"/>
    <s v="India"/>
    <d v="2024-10-07T00:00:00"/>
    <d v="2024-10-17T00:00:00"/>
    <n v="160400"/>
    <n v="3208"/>
    <n v="80"/>
    <n v="3956.89"/>
    <n v="23559.759999999998"/>
    <n v="2"/>
    <n v="2.52"/>
    <n v="1.23"/>
    <n v="49.46"/>
    <n v="5.95"/>
    <n v="495.41"/>
  </r>
  <r>
    <s v="CMP0490"/>
    <s v="Networked systemic parallelism"/>
    <x v="0"/>
    <s v="Retention"/>
    <s v="Australia"/>
    <d v="2024-07-18T00:00:00"/>
    <d v="2024-08-13T00:00:00"/>
    <n v="451078"/>
    <n v="29229"/>
    <n v="1350"/>
    <n v="17362.04"/>
    <n v="41311.25"/>
    <n v="6.48"/>
    <n v="4.62"/>
    <n v="0.59"/>
    <n v="12.86"/>
    <n v="2.38"/>
    <n v="137.94"/>
  </r>
  <r>
    <s v="CMP0491"/>
    <s v="Pre-emptive human-resource help-desk"/>
    <x v="2"/>
    <s v="Lead Generation"/>
    <s v="UK"/>
    <d v="2024-07-01T00:00:00"/>
    <d v="2024-07-28T00:00:00"/>
    <n v="282343"/>
    <n v="9543"/>
    <n v="253"/>
    <n v="15577.77"/>
    <n v="33158.39"/>
    <n v="3.38"/>
    <n v="2.66"/>
    <n v="1.63"/>
    <n v="61.57"/>
    <n v="2.13"/>
    <n v="112.86"/>
  </r>
  <r>
    <s v="CMP0492"/>
    <s v="Object-based coherent intranet"/>
    <x v="1"/>
    <s v="Retention"/>
    <s v="Australia"/>
    <d v="2024-10-29T00:00:00"/>
    <d v="2024-12-13T00:00:00"/>
    <n v="192823"/>
    <n v="3335"/>
    <n v="198"/>
    <n v="19175.78"/>
    <n v="84887.23"/>
    <n v="1.73"/>
    <n v="5.95"/>
    <n v="5.75"/>
    <n v="96.85"/>
    <n v="4.43"/>
    <n v="342.68"/>
  </r>
  <r>
    <s v="CMP0493"/>
    <s v="Synchronized static Local Area Network"/>
    <x v="1"/>
    <s v="Retention"/>
    <s v="Australia"/>
    <d v="2024-02-15T00:00:00"/>
    <d v="2024-03-21T00:00:00"/>
    <n v="385432"/>
    <n v="7284"/>
    <n v="522"/>
    <n v="9554.69"/>
    <n v="42313.01"/>
    <n v="1.89"/>
    <n v="7.17"/>
    <n v="1.31"/>
    <n v="18.3"/>
    <n v="4.43"/>
    <n v="342.85"/>
  </r>
  <r>
    <s v="CMP0494"/>
    <s v="Realigned dynamic benchmark"/>
    <x v="4"/>
    <s v="Conversion"/>
    <s v="Canada"/>
    <d v="2024-03-10T00:00:00"/>
    <d v="2024-04-08T00:00:00"/>
    <n v="186213"/>
    <n v="2979"/>
    <n v="45"/>
    <n v="9041.4500000000007"/>
    <n v="48935.23"/>
    <n v="1.6"/>
    <n v="1.54"/>
    <n v="3.04"/>
    <n v="200.92"/>
    <n v="5.41"/>
    <n v="441.23"/>
  </r>
  <r>
    <s v="CMP0495"/>
    <s v="Realigned non-volatile interface"/>
    <x v="4"/>
    <s v="Retention"/>
    <s v="Australia"/>
    <d v="2024-08-08T00:00:00"/>
    <d v="2024-09-02T00:00:00"/>
    <n v="54360"/>
    <n v="1625"/>
    <n v="52"/>
    <n v="11943.41"/>
    <n v="39989.49"/>
    <n v="2.99"/>
    <n v="3.22"/>
    <n v="7.35"/>
    <n v="229.68"/>
    <n v="3.35"/>
    <n v="234.82"/>
  </r>
  <r>
    <s v="CMP0496"/>
    <s v="Enhanced directional synergy"/>
    <x v="3"/>
    <s v="Lead Generation"/>
    <s v="India"/>
    <d v="2024-03-24T00:00:00"/>
    <d v="2024-04-24T00:00:00"/>
    <n v="337421"/>
    <n v="21055"/>
    <n v="2551"/>
    <n v="3022.49"/>
    <n v="11414.08"/>
    <n v="6.24"/>
    <n v="12.12"/>
    <n v="0.14000000000000001"/>
    <n v="1.18"/>
    <n v="3.78"/>
    <n v="277.64"/>
  </r>
  <r>
    <s v="CMP0497"/>
    <s v="Cross-platform attitude-oriented moderator"/>
    <x v="1"/>
    <s v="Lead Generation"/>
    <s v="UK"/>
    <d v="2024-05-19T00:00:00"/>
    <d v="2024-06-13T00:00:00"/>
    <n v="91528"/>
    <n v="1391"/>
    <n v="92"/>
    <n v="16232.61"/>
    <n v="98934.43"/>
    <n v="1.52"/>
    <n v="6.68"/>
    <n v="11.67"/>
    <n v="176.44"/>
    <n v="6.09"/>
    <n v="509.48"/>
  </r>
  <r>
    <s v="CMP0498"/>
    <s v="Digitized uniform portal"/>
    <x v="3"/>
    <s v="Conversion"/>
    <s v="Canada"/>
    <d v="2024-11-12T00:00:00"/>
    <d v="2024-12-17T00:00:00"/>
    <n v="148566"/>
    <n v="13549"/>
    <n v="1330"/>
    <n v="1803.18"/>
    <n v="8774.2999999999993"/>
    <n v="9.1199999999999992"/>
    <n v="9.82"/>
    <n v="0.13"/>
    <n v="1.36"/>
    <n v="4.87"/>
    <n v="386.6"/>
  </r>
  <r>
    <s v="CMP0499"/>
    <s v="Down-sized zero-defect archive"/>
    <x v="4"/>
    <s v="Retention"/>
    <s v="USA"/>
    <d v="2024-02-22T00:00:00"/>
    <d v="2024-03-18T00:00:00"/>
    <n v="218109"/>
    <n v="2726"/>
    <n v="45"/>
    <n v="9187.1299999999992"/>
    <n v="26061.31"/>
    <n v="1.25"/>
    <n v="1.67"/>
    <n v="3.37"/>
    <n v="204.16"/>
    <n v="2.84"/>
    <n v="183.67"/>
  </r>
  <r>
    <s v="CMP0500"/>
    <s v="Up-sized client-driven Local Area Network"/>
    <x v="4"/>
    <s v="Lead Generation"/>
    <s v="Canada"/>
    <d v="2024-08-03T00:00:00"/>
    <d v="2024-08-29T00:00:00"/>
    <n v="431213"/>
    <n v="5260"/>
    <n v="95"/>
    <n v="2684.06"/>
    <n v="7991.38"/>
    <n v="1.22"/>
    <n v="1.82"/>
    <n v="0.51"/>
    <n v="28.25"/>
    <n v="2.98"/>
    <n v="197.73"/>
  </r>
  <r>
    <s v="CMP0501"/>
    <s v="Function-based encompassing workforce"/>
    <x v="1"/>
    <s v="Conversion"/>
    <s v="Canada"/>
    <d v="2024-01-29T00:00:00"/>
    <d v="2024-02-22T00:00:00"/>
    <n v="415394"/>
    <n v="8930"/>
    <n v="652"/>
    <n v="17496.740000000002"/>
    <n v="109921.49"/>
    <n v="2.15"/>
    <n v="7.31"/>
    <n v="1.96"/>
    <n v="26.84"/>
    <n v="6.28"/>
    <n v="528.24"/>
  </r>
  <r>
    <s v="CMP0502"/>
    <s v="Automated local knowledge user"/>
    <x v="1"/>
    <s v="Awareness"/>
    <s v="Australia"/>
    <d v="2024-01-07T00:00:00"/>
    <d v="2024-01-21T00:00:00"/>
    <n v="296492"/>
    <n v="3291"/>
    <n v="370"/>
    <n v="8001.27"/>
    <n v="29741.51"/>
    <n v="1.1100000000000001"/>
    <n v="11.27"/>
    <n v="2.4300000000000002"/>
    <n v="21.63"/>
    <n v="3.72"/>
    <n v="271.70999999999998"/>
  </r>
  <r>
    <s v="CMP0503"/>
    <s v="Devolved national software"/>
    <x v="2"/>
    <s v="Retention"/>
    <s v="Canada"/>
    <d v="2024-09-23T00:00:00"/>
    <d v="2024-10-13T00:00:00"/>
    <n v="179584"/>
    <n v="6662"/>
    <n v="144"/>
    <n v="9912.52"/>
    <n v="54216.35"/>
    <n v="3.71"/>
    <n v="2.17"/>
    <n v="1.49"/>
    <n v="68.84"/>
    <n v="5.47"/>
    <n v="446.95"/>
  </r>
  <r>
    <s v="CMP0504"/>
    <s v="Extended transitional Graphical User Interface"/>
    <x v="1"/>
    <s v="Retention"/>
    <s v="UK"/>
    <d v="2024-03-03T00:00:00"/>
    <d v="2024-03-26T00:00:00"/>
    <n v="219378"/>
    <n v="2347"/>
    <n v="237"/>
    <n v="15915.59"/>
    <n v="71192.179999999993"/>
    <n v="1.07"/>
    <n v="10.1"/>
    <n v="6.78"/>
    <n v="67.150000000000006"/>
    <n v="4.47"/>
    <n v="347.31"/>
  </r>
  <r>
    <s v="CMP0505"/>
    <s v="Front-line zero tolerance leverage"/>
    <x v="1"/>
    <s v="Conversion"/>
    <s v="USA"/>
    <d v="2024-11-20T00:00:00"/>
    <d v="2024-12-24T00:00:00"/>
    <n v="238967"/>
    <n v="5520"/>
    <n v="609"/>
    <n v="7484.61"/>
    <n v="18772.73"/>
    <n v="2.31"/>
    <n v="11.05"/>
    <n v="1.36"/>
    <n v="12.29"/>
    <n v="2.5099999999999998"/>
    <n v="150.82"/>
  </r>
  <r>
    <s v="CMP0506"/>
    <s v="Upgradable neutral focus group"/>
    <x v="4"/>
    <s v="Awareness"/>
    <s v="USA"/>
    <d v="2024-01-22T00:00:00"/>
    <d v="2024-03-06T00:00:00"/>
    <n v="466489"/>
    <n v="8956"/>
    <n v="171"/>
    <n v="12364.3"/>
    <n v="25225.45"/>
    <n v="1.92"/>
    <n v="1.92"/>
    <n v="1.38"/>
    <n v="72.31"/>
    <n v="2.04"/>
    <n v="104.02"/>
  </r>
  <r>
    <s v="CMP0507"/>
    <s v="Profit-focused analyzing customer loyalty"/>
    <x v="1"/>
    <s v="Lead Generation"/>
    <s v="UK"/>
    <d v="2024-11-16T00:00:00"/>
    <d v="2024-11-26T00:00:00"/>
    <n v="454119"/>
    <n v="4314"/>
    <n v="263"/>
    <n v="5462.42"/>
    <n v="26131.68"/>
    <n v="0.95"/>
    <n v="6.1"/>
    <n v="1.27"/>
    <n v="20.77"/>
    <n v="4.78"/>
    <n v="378.39"/>
  </r>
  <r>
    <s v="CMP0508"/>
    <s v="Virtual bifurcated artificial intelligence"/>
    <x v="0"/>
    <s v="Conversion"/>
    <s v="USA"/>
    <d v="2024-10-12T00:00:00"/>
    <d v="2024-11-10T00:00:00"/>
    <n v="417697"/>
    <n v="19422"/>
    <n v="901"/>
    <n v="14756.86"/>
    <n v="50547.09"/>
    <n v="4.6500000000000004"/>
    <n v="4.6399999999999997"/>
    <n v="0.76"/>
    <n v="16.38"/>
    <n v="3.43"/>
    <n v="242.53"/>
  </r>
  <r>
    <s v="CMP0509"/>
    <s v="Synchronized directional Graphical User Interface"/>
    <x v="1"/>
    <s v="Lead Generation"/>
    <s v="India"/>
    <d v="2024-08-12T00:00:00"/>
    <d v="2024-09-23T00:00:00"/>
    <n v="411365"/>
    <n v="5923"/>
    <n v="596"/>
    <n v="8011.14"/>
    <n v="17445.849999999999"/>
    <n v="1.44"/>
    <n v="10.07"/>
    <n v="1.35"/>
    <n v="13.44"/>
    <n v="2.1800000000000002"/>
    <n v="117.77"/>
  </r>
  <r>
    <s v="CMP0510"/>
    <s v="Organic full-range website"/>
    <x v="4"/>
    <s v="Retention"/>
    <s v="USA"/>
    <d v="2024-11-02T00:00:00"/>
    <d v="2024-12-14T00:00:00"/>
    <n v="347114"/>
    <n v="5866"/>
    <n v="159"/>
    <n v="11655.03"/>
    <n v="37750.18"/>
    <n v="1.69"/>
    <n v="2.72"/>
    <n v="1.99"/>
    <n v="73.3"/>
    <n v="3.24"/>
    <n v="223.9"/>
  </r>
  <r>
    <s v="CMP0511"/>
    <s v="Cross-group holistic array"/>
    <x v="2"/>
    <s v="Awareness"/>
    <s v="Australia"/>
    <d v="2024-11-22T00:00:00"/>
    <d v="2024-12-31T00:00:00"/>
    <n v="131277"/>
    <n v="3741"/>
    <n v="228"/>
    <n v="11124.09"/>
    <n v="44978.65"/>
    <n v="2.85"/>
    <n v="6.1"/>
    <n v="2.97"/>
    <n v="48.79"/>
    <n v="4.04"/>
    <n v="304.33999999999997"/>
  </r>
  <r>
    <s v="CMP0512"/>
    <s v="Persistent regional website"/>
    <x v="1"/>
    <s v="Lead Generation"/>
    <s v="India"/>
    <d v="2024-10-02T00:00:00"/>
    <d v="2024-11-02T00:00:00"/>
    <n v="374919"/>
    <n v="8473"/>
    <n v="883"/>
    <n v="7820.58"/>
    <n v="41015.160000000003"/>
    <n v="2.2599999999999998"/>
    <n v="10.43"/>
    <n v="0.92"/>
    <n v="8.86"/>
    <n v="5.24"/>
    <n v="424.45"/>
  </r>
  <r>
    <s v="CMP0513"/>
    <s v="Reactive full-range ability"/>
    <x v="2"/>
    <s v="Retention"/>
    <s v="Australia"/>
    <d v="2024-09-24T00:00:00"/>
    <d v="2024-10-05T00:00:00"/>
    <n v="130809"/>
    <n v="4369"/>
    <n v="157"/>
    <n v="12613.56"/>
    <n v="31497.18"/>
    <n v="3.34"/>
    <n v="3.61"/>
    <n v="2.89"/>
    <n v="80.34"/>
    <n v="2.5"/>
    <n v="149.71"/>
  </r>
  <r>
    <s v="CMP0514"/>
    <s v="Face-to-face executive core"/>
    <x v="0"/>
    <s v="Lead Generation"/>
    <s v="USA"/>
    <d v="2024-07-17T00:00:00"/>
    <d v="2024-08-24T00:00:00"/>
    <n v="66396"/>
    <n v="2197"/>
    <n v="151"/>
    <n v="6975.07"/>
    <n v="31872.959999999999"/>
    <n v="3.31"/>
    <n v="6.91"/>
    <n v="3.17"/>
    <n v="46.19"/>
    <n v="4.57"/>
    <n v="356.96"/>
  </r>
  <r>
    <s v="CMP0515"/>
    <s v="Operative stable analyzer"/>
    <x v="3"/>
    <s v="Conversion"/>
    <s v="India"/>
    <d v="2024-09-08T00:00:00"/>
    <d v="2024-09-20T00:00:00"/>
    <n v="242075"/>
    <n v="12878"/>
    <n v="1954"/>
    <n v="558.89"/>
    <n v="3434.19"/>
    <n v="5.32"/>
    <n v="15.18"/>
    <n v="0.04"/>
    <n v="0.28999999999999998"/>
    <n v="6.14"/>
    <n v="514.47"/>
  </r>
  <r>
    <s v="CMP0516"/>
    <s v="Managed disintermediate knowledgebase"/>
    <x v="1"/>
    <s v="Awareness"/>
    <s v="UK"/>
    <d v="2024-01-30T00:00:00"/>
    <d v="2024-02-23T00:00:00"/>
    <n v="342563"/>
    <n v="7056"/>
    <n v="792"/>
    <n v="17152.419999999998"/>
    <n v="95609.7"/>
    <n v="2.06"/>
    <n v="11.23"/>
    <n v="2.4300000000000002"/>
    <n v="21.66"/>
    <n v="5.57"/>
    <n v="457.41"/>
  </r>
  <r>
    <s v="CMP0517"/>
    <s v="Future-proofed local implementation"/>
    <x v="3"/>
    <s v="Awareness"/>
    <s v="India"/>
    <d v="2024-04-28T00:00:00"/>
    <d v="2024-06-08T00:00:00"/>
    <n v="487495"/>
    <n v="28372"/>
    <n v="4950"/>
    <n v="4822.6400000000003"/>
    <n v="11752.95"/>
    <n v="5.82"/>
    <n v="17.45"/>
    <n v="0.17"/>
    <n v="0.97"/>
    <n v="2.44"/>
    <n v="143.69999999999999"/>
  </r>
  <r>
    <s v="CMP0518"/>
    <s v="Self-enabling user-facing Internet solution"/>
    <x v="1"/>
    <s v="Lead Generation"/>
    <s v="USA"/>
    <d v="2024-10-12T00:00:00"/>
    <d v="2024-11-14T00:00:00"/>
    <n v="325876"/>
    <n v="6256"/>
    <n v="562"/>
    <n v="19160.05"/>
    <n v="86467.5"/>
    <n v="1.92"/>
    <n v="8.99"/>
    <n v="3.06"/>
    <n v="34.090000000000003"/>
    <n v="4.51"/>
    <n v="351.29"/>
  </r>
  <r>
    <s v="CMP0519"/>
    <s v="Persistent attitude-oriented encoding"/>
    <x v="0"/>
    <s v="Conversion"/>
    <s v="Canada"/>
    <d v="2024-07-24T00:00:00"/>
    <d v="2024-09-01T00:00:00"/>
    <n v="418338"/>
    <n v="21586"/>
    <n v="2007"/>
    <n v="8336.19"/>
    <n v="23439.57"/>
    <n v="5.16"/>
    <n v="9.3000000000000007"/>
    <n v="0.39"/>
    <n v="4.1500000000000004"/>
    <n v="2.81"/>
    <n v="181.18"/>
  </r>
  <r>
    <s v="CMP0520"/>
    <s v="Synergistic responsive data-warehouse"/>
    <x v="4"/>
    <s v="Lead Generation"/>
    <s v="Australia"/>
    <d v="2024-06-15T00:00:00"/>
    <d v="2024-07-15T00:00:00"/>
    <n v="364528"/>
    <n v="8566"/>
    <n v="233"/>
    <n v="6439.44"/>
    <n v="41608.980000000003"/>
    <n v="2.35"/>
    <n v="2.73"/>
    <n v="0.75"/>
    <n v="27.64"/>
    <n v="6.46"/>
    <n v="546.16"/>
  </r>
  <r>
    <s v="CMP0521"/>
    <s v="Customer-focused zero administration challenge"/>
    <x v="1"/>
    <s v="Retention"/>
    <s v="UK"/>
    <d v="2024-05-10T00:00:00"/>
    <d v="2024-06-09T00:00:00"/>
    <n v="368983"/>
    <n v="4464"/>
    <n v="393"/>
    <n v="10001.01"/>
    <n v="44765.26"/>
    <n v="1.21"/>
    <n v="8.82"/>
    <n v="2.2400000000000002"/>
    <n v="25.45"/>
    <n v="4.4800000000000004"/>
    <n v="347.61"/>
  </r>
  <r>
    <s v="CMP0522"/>
    <s v="Universal client-server productivity"/>
    <x v="1"/>
    <s v="Retention"/>
    <s v="Canada"/>
    <d v="2024-06-03T00:00:00"/>
    <d v="2024-06-10T00:00:00"/>
    <n v="50102"/>
    <n v="1017"/>
    <n v="120"/>
    <n v="13532.21"/>
    <n v="58584.21"/>
    <n v="2.0299999999999998"/>
    <n v="11.88"/>
    <n v="13.31"/>
    <n v="112.77"/>
    <n v="4.33"/>
    <n v="332.92"/>
  </r>
  <r>
    <s v="CMP0523"/>
    <s v="Distributed holistic model"/>
    <x v="4"/>
    <s v="Lead Generation"/>
    <s v="USA"/>
    <d v="2024-10-10T00:00:00"/>
    <d v="2024-11-18T00:00:00"/>
    <n v="498643"/>
    <n v="10072"/>
    <n v="423"/>
    <n v="14291.85"/>
    <n v="81470.960000000006"/>
    <n v="2.02"/>
    <n v="4.2"/>
    <n v="1.42"/>
    <n v="33.79"/>
    <n v="5.7"/>
    <n v="470.05"/>
  </r>
  <r>
    <s v="CMP0524"/>
    <s v="Team-oriented upward-trending middleware"/>
    <x v="3"/>
    <s v="Lead Generation"/>
    <s v="India"/>
    <d v="2024-05-07T00:00:00"/>
    <d v="2024-05-28T00:00:00"/>
    <n v="69784"/>
    <n v="4717"/>
    <n v="450"/>
    <n v="1692.45"/>
    <n v="10160.31"/>
    <n v="6.76"/>
    <n v="9.56"/>
    <n v="0.36"/>
    <n v="3.76"/>
    <n v="6"/>
    <n v="500.33"/>
  </r>
  <r>
    <s v="CMP0525"/>
    <s v="Organized zero administration installation"/>
    <x v="4"/>
    <s v="Conversion"/>
    <s v="India"/>
    <d v="2024-09-04T00:00:00"/>
    <d v="2024-09-22T00:00:00"/>
    <n v="349099"/>
    <n v="7819"/>
    <n v="368"/>
    <n v="11678.32"/>
    <n v="61382.559999999998"/>
    <n v="2.2400000000000002"/>
    <n v="4.71"/>
    <n v="1.49"/>
    <n v="31.73"/>
    <n v="5.26"/>
    <n v="425.61"/>
  </r>
  <r>
    <s v="CMP0526"/>
    <s v="Horizontal actuating instruction set"/>
    <x v="1"/>
    <s v="Awareness"/>
    <s v="Australia"/>
    <d v="2024-01-29T00:00:00"/>
    <d v="2024-02-26T00:00:00"/>
    <n v="386726"/>
    <n v="5066"/>
    <n v="512"/>
    <n v="13220.54"/>
    <n v="31109.89"/>
    <n v="1.31"/>
    <n v="10.119999999999999"/>
    <n v="2.61"/>
    <n v="25.82"/>
    <n v="2.35"/>
    <n v="135.31"/>
  </r>
  <r>
    <s v="CMP0527"/>
    <s v="Profound bifurcated secured line"/>
    <x v="4"/>
    <s v="Retention"/>
    <s v="Canada"/>
    <d v="2024-01-06T00:00:00"/>
    <d v="2024-02-06T00:00:00"/>
    <n v="113197"/>
    <n v="3916"/>
    <n v="89"/>
    <n v="10659.74"/>
    <n v="50211.18"/>
    <n v="3.46"/>
    <n v="2.29"/>
    <n v="2.72"/>
    <n v="119.77"/>
    <n v="4.71"/>
    <n v="371.04"/>
  </r>
  <r>
    <s v="CMP0528"/>
    <s v="Streamlined mobile hub"/>
    <x v="0"/>
    <s v="Conversion"/>
    <s v="Australia"/>
    <d v="2024-03-19T00:00:00"/>
    <d v="2024-03-29T00:00:00"/>
    <n v="71591"/>
    <n v="2706"/>
    <n v="199"/>
    <n v="11536.63"/>
    <n v="59297.8"/>
    <n v="3.78"/>
    <n v="7.39"/>
    <n v="4.26"/>
    <n v="57.97"/>
    <n v="5.14"/>
    <n v="414"/>
  </r>
  <r>
    <s v="CMP0529"/>
    <s v="Multi-layered mission-critical parallelism"/>
    <x v="1"/>
    <s v="Retention"/>
    <s v="Australia"/>
    <d v="2024-03-08T00:00:00"/>
    <d v="2024-04-05T00:00:00"/>
    <n v="351599"/>
    <n v="5836"/>
    <n v="382"/>
    <n v="8636.5300000000007"/>
    <n v="32598.16"/>
    <n v="1.66"/>
    <n v="6.55"/>
    <n v="1.48"/>
    <n v="22.61"/>
    <n v="3.77"/>
    <n v="277.45"/>
  </r>
  <r>
    <s v="CMP0530"/>
    <s v="Team-oriented disintermediate knowledge user"/>
    <x v="0"/>
    <s v="Retention"/>
    <s v="Australia"/>
    <d v="2024-03-07T00:00:00"/>
    <d v="2024-03-22T00:00:00"/>
    <n v="440759"/>
    <n v="11900"/>
    <n v="761"/>
    <n v="6701.58"/>
    <n v="28536.69"/>
    <n v="2.7"/>
    <n v="6.4"/>
    <n v="0.56000000000000005"/>
    <n v="8.81"/>
    <n v="4.26"/>
    <n v="325.82"/>
  </r>
  <r>
    <s v="CMP0531"/>
    <s v="User-centric methodical database"/>
    <x v="1"/>
    <s v="Lead Generation"/>
    <s v="Canada"/>
    <d v="2024-05-06T00:00:00"/>
    <d v="2024-05-28T00:00:00"/>
    <n v="257260"/>
    <n v="4913"/>
    <n v="312"/>
    <n v="13855.95"/>
    <n v="73582.09"/>
    <n v="1.91"/>
    <n v="6.37"/>
    <n v="2.82"/>
    <n v="44.41"/>
    <n v="5.31"/>
    <n v="431.05"/>
  </r>
  <r>
    <s v="CMP0532"/>
    <s v="Organic upward-trending portal"/>
    <x v="0"/>
    <s v="Conversion"/>
    <s v="Canada"/>
    <d v="2024-07-06T00:00:00"/>
    <d v="2024-08-04T00:00:00"/>
    <n v="219560"/>
    <n v="11504"/>
    <n v="858"/>
    <n v="7250.6"/>
    <n v="27995.43"/>
    <n v="5.24"/>
    <n v="7.46"/>
    <n v="0.63"/>
    <n v="8.4499999999999993"/>
    <n v="3.86"/>
    <n v="286.11"/>
  </r>
  <r>
    <s v="CMP0533"/>
    <s v="Networked 6thgeneration moderator"/>
    <x v="2"/>
    <s v="Conversion"/>
    <s v="UK"/>
    <d v="2024-08-14T00:00:00"/>
    <d v="2024-08-30T00:00:00"/>
    <n v="361362"/>
    <n v="12539"/>
    <n v="733"/>
    <n v="5538.83"/>
    <n v="19794.25"/>
    <n v="3.47"/>
    <n v="5.85"/>
    <n v="0.44"/>
    <n v="7.56"/>
    <n v="3.57"/>
    <n v="257.37"/>
  </r>
  <r>
    <s v="CMP0534"/>
    <s v="Multi-tiered neutral projection"/>
    <x v="1"/>
    <s v="Awareness"/>
    <s v="USA"/>
    <d v="2024-01-28T00:00:00"/>
    <d v="2024-02-19T00:00:00"/>
    <n v="154692"/>
    <n v="3047"/>
    <n v="185"/>
    <n v="15655.79"/>
    <n v="37357.300000000003"/>
    <n v="1.97"/>
    <n v="6.09"/>
    <n v="5.14"/>
    <n v="84.63"/>
    <n v="2.39"/>
    <n v="138.62"/>
  </r>
  <r>
    <s v="CMP0535"/>
    <s v="Intuitive homogeneous array"/>
    <x v="3"/>
    <s v="Lead Generation"/>
    <s v="UK"/>
    <d v="2024-06-18T00:00:00"/>
    <d v="2024-07-08T00:00:00"/>
    <n v="57200"/>
    <n v="3466"/>
    <n v="555"/>
    <n v="1873.03"/>
    <n v="7717.55"/>
    <n v="6.06"/>
    <n v="16.04"/>
    <n v="0.54"/>
    <n v="3.37"/>
    <n v="4.12"/>
    <n v="312.04000000000002"/>
  </r>
  <r>
    <s v="CMP0536"/>
    <s v="Re-contextualized global budgetary management"/>
    <x v="3"/>
    <s v="Lead Generation"/>
    <s v="USA"/>
    <d v="2024-03-13T00:00:00"/>
    <d v="2024-03-21T00:00:00"/>
    <n v="336483"/>
    <n v="24024"/>
    <n v="2544"/>
    <n v="2673.62"/>
    <n v="14129.16"/>
    <n v="7.14"/>
    <n v="10.59"/>
    <n v="0.11"/>
    <n v="1.05"/>
    <n v="5.28"/>
    <n v="428.47"/>
  </r>
  <r>
    <s v="CMP0537"/>
    <s v="Versatile impactful product"/>
    <x v="1"/>
    <s v="Awareness"/>
    <s v="UK"/>
    <d v="2024-08-26T00:00:00"/>
    <d v="2024-09-02T00:00:00"/>
    <n v="139296"/>
    <n v="1253"/>
    <n v="80"/>
    <n v="15144.43"/>
    <n v="48776.67"/>
    <n v="0.9"/>
    <n v="6.4"/>
    <n v="12.09"/>
    <n v="189.31"/>
    <n v="3.22"/>
    <n v="222.08"/>
  </r>
  <r>
    <s v="CMP0538"/>
    <s v="Progressive neutral archive"/>
    <x v="0"/>
    <s v="Retention"/>
    <s v="UK"/>
    <d v="2024-07-16T00:00:00"/>
    <d v="2024-08-06T00:00:00"/>
    <n v="397593"/>
    <n v="23497"/>
    <n v="1870"/>
    <n v="22285.65"/>
    <n v="46484.58"/>
    <n v="5.91"/>
    <n v="7.96"/>
    <n v="0.95"/>
    <n v="11.92"/>
    <n v="2.09"/>
    <n v="108.59"/>
  </r>
  <r>
    <s v="CMP0539"/>
    <s v="Compatible transitional project"/>
    <x v="1"/>
    <s v="Awareness"/>
    <s v="UK"/>
    <d v="2024-08-22T00:00:00"/>
    <d v="2024-10-03T00:00:00"/>
    <n v="304102"/>
    <n v="6903"/>
    <n v="601"/>
    <n v="6982.68"/>
    <n v="29696.84"/>
    <n v="2.27"/>
    <n v="8.7200000000000006"/>
    <n v="1.01"/>
    <n v="11.62"/>
    <n v="4.25"/>
    <n v="325.29000000000002"/>
  </r>
  <r>
    <s v="CMP0540"/>
    <s v="Distributed asymmetric hub"/>
    <x v="0"/>
    <s v="Awareness"/>
    <s v="USA"/>
    <d v="2024-06-29T00:00:00"/>
    <d v="2024-07-28T00:00:00"/>
    <n v="327566"/>
    <n v="12185"/>
    <n v="845"/>
    <n v="19887.810000000001"/>
    <n v="41419.839999999997"/>
    <n v="3.72"/>
    <n v="6.94"/>
    <n v="1.63"/>
    <n v="23.54"/>
    <n v="2.08"/>
    <n v="108.27"/>
  </r>
  <r>
    <s v="CMP0541"/>
    <s v="Public-key fault-tolerant firmware"/>
    <x v="4"/>
    <s v="Lead Generation"/>
    <s v="Australia"/>
    <d v="2024-01-16T00:00:00"/>
    <d v="2024-02-27T00:00:00"/>
    <n v="194639"/>
    <n v="6442"/>
    <n v="237"/>
    <n v="13483.47"/>
    <n v="80992.63"/>
    <n v="3.31"/>
    <n v="3.69"/>
    <n v="2.09"/>
    <n v="56.89"/>
    <n v="6.01"/>
    <n v="500.68"/>
  </r>
  <r>
    <s v="CMP0542"/>
    <s v="Vision-oriented local knowledgebase"/>
    <x v="4"/>
    <s v="Lead Generation"/>
    <s v="USA"/>
    <d v="2024-11-09T00:00:00"/>
    <d v="2024-11-30T00:00:00"/>
    <n v="229194"/>
    <n v="8090"/>
    <n v="307"/>
    <n v="3597.44"/>
    <n v="13382.23"/>
    <n v="3.53"/>
    <n v="3.8"/>
    <n v="0.44"/>
    <n v="11.72"/>
    <n v="3.72"/>
    <n v="271.99"/>
  </r>
  <r>
    <s v="CMP0543"/>
    <s v="Reverse-engineered executive forecast"/>
    <x v="1"/>
    <s v="Lead Generation"/>
    <s v="Australia"/>
    <d v="2024-03-08T00:00:00"/>
    <d v="2024-03-28T00:00:00"/>
    <n v="130084"/>
    <n v="1977"/>
    <n v="142"/>
    <n v="13685.9"/>
    <n v="55034.58"/>
    <n v="1.52"/>
    <n v="7.19"/>
    <n v="6.92"/>
    <n v="96.38"/>
    <n v="4.0199999999999996"/>
    <n v="302.13"/>
  </r>
  <r>
    <s v="CMP0544"/>
    <s v="Versatile radical circuit"/>
    <x v="2"/>
    <s v="Lead Generation"/>
    <s v="USA"/>
    <d v="2024-03-15T00:00:00"/>
    <d v="2024-04-27T00:00:00"/>
    <n v="212004"/>
    <n v="7568"/>
    <n v="491"/>
    <n v="16643.439999999999"/>
    <n v="65496.75"/>
    <n v="3.57"/>
    <n v="6.49"/>
    <n v="2.2000000000000002"/>
    <n v="33.9"/>
    <n v="3.94"/>
    <n v="293.52999999999997"/>
  </r>
  <r>
    <s v="CMP0545"/>
    <s v="Team-oriented zero tolerance alliance"/>
    <x v="2"/>
    <s v="Conversion"/>
    <s v="India"/>
    <d v="2024-03-15T00:00:00"/>
    <d v="2024-03-23T00:00:00"/>
    <n v="342206"/>
    <n v="10608"/>
    <n v="594"/>
    <n v="5762.03"/>
    <n v="33292.15"/>
    <n v="3.1"/>
    <n v="5.6"/>
    <n v="0.54"/>
    <n v="9.6999999999999993"/>
    <n v="5.78"/>
    <n v="477.79"/>
  </r>
  <r>
    <s v="CMP0546"/>
    <s v="Persistent context-sensitive system engine"/>
    <x v="4"/>
    <s v="Retention"/>
    <s v="Canada"/>
    <d v="2024-05-20T00:00:00"/>
    <d v="2024-06-05T00:00:00"/>
    <n v="209041"/>
    <n v="4912"/>
    <n v="234"/>
    <n v="13676.63"/>
    <n v="84789.98"/>
    <n v="2.35"/>
    <n v="4.7699999999999996"/>
    <n v="2.78"/>
    <n v="58.45"/>
    <n v="6.2"/>
    <n v="519.96"/>
  </r>
  <r>
    <s v="CMP0547"/>
    <s v="Progressive intermediate benchmark"/>
    <x v="2"/>
    <s v="Awareness"/>
    <s v="USA"/>
    <d v="2024-11-09T00:00:00"/>
    <d v="2024-11-30T00:00:00"/>
    <n v="146860"/>
    <n v="2320"/>
    <n v="160"/>
    <n v="12254.2"/>
    <n v="57903.79"/>
    <n v="1.58"/>
    <n v="6.93"/>
    <n v="5.28"/>
    <n v="76.59"/>
    <n v="4.7300000000000004"/>
    <n v="372.52"/>
  </r>
  <r>
    <s v="CMP0548"/>
    <s v="Reduced didactic interface"/>
    <x v="3"/>
    <s v="Lead Generation"/>
    <s v="USA"/>
    <d v="2024-11-05T00:00:00"/>
    <d v="2024-12-12T00:00:00"/>
    <n v="410383"/>
    <n v="17071"/>
    <n v="1500"/>
    <n v="4009.22"/>
    <n v="10437.56"/>
    <n v="4.16"/>
    <n v="8.7899999999999991"/>
    <n v="0.23"/>
    <n v="2.67"/>
    <n v="2.6"/>
    <n v="160.34"/>
  </r>
  <r>
    <s v="CMP0549"/>
    <s v="Upgradable coherent moratorium"/>
    <x v="4"/>
    <s v="Lead Generation"/>
    <s v="Canada"/>
    <d v="2024-01-08T00:00:00"/>
    <d v="2024-02-01T00:00:00"/>
    <n v="307659"/>
    <n v="7476"/>
    <n v="154"/>
    <n v="5328.41"/>
    <n v="20453.91"/>
    <n v="2.4300000000000002"/>
    <n v="2.0699999999999998"/>
    <n v="0.71"/>
    <n v="34.6"/>
    <n v="3.84"/>
    <n v="283.87"/>
  </r>
  <r>
    <s v="CMP0550"/>
    <s v="Devolved didactic process improvement"/>
    <x v="1"/>
    <s v="Lead Generation"/>
    <s v="USA"/>
    <d v="2024-11-11T00:00:00"/>
    <d v="2024-12-19T00:00:00"/>
    <n v="447293"/>
    <n v="5143"/>
    <n v="320"/>
    <n v="19275.189999999999"/>
    <n v="76653.259999999995"/>
    <n v="1.1499999999999999"/>
    <n v="6.24"/>
    <n v="3.75"/>
    <n v="60.23"/>
    <n v="3.98"/>
    <n v="297.68"/>
  </r>
  <r>
    <s v="CMP0551"/>
    <s v="Function-based national methodology"/>
    <x v="4"/>
    <s v="Retention"/>
    <s v="USA"/>
    <d v="2024-06-09T00:00:00"/>
    <d v="2024-07-11T00:00:00"/>
    <n v="274162"/>
    <n v="6168"/>
    <n v="101"/>
    <n v="11691.65"/>
    <n v="43395.71"/>
    <n v="2.25"/>
    <n v="1.65"/>
    <n v="1.9"/>
    <n v="115.76"/>
    <n v="3.71"/>
    <n v="271.17"/>
  </r>
  <r>
    <s v="CMP0552"/>
    <s v="Future-proofed eco-centric synergy"/>
    <x v="3"/>
    <s v="Awareness"/>
    <s v="Australia"/>
    <d v="2024-09-22T00:00:00"/>
    <d v="2024-11-02T00:00:00"/>
    <n v="107313"/>
    <n v="7200"/>
    <n v="1171"/>
    <n v="690.87"/>
    <n v="4477.71"/>
    <n v="6.71"/>
    <n v="16.27"/>
    <n v="0.1"/>
    <n v="0.59"/>
    <n v="6.48"/>
    <n v="548.13"/>
  </r>
  <r>
    <s v="CMP0553"/>
    <s v="Monitored system-worthy matrix"/>
    <x v="1"/>
    <s v="Awareness"/>
    <s v="Australia"/>
    <d v="2024-07-22T00:00:00"/>
    <d v="2024-08-17T00:00:00"/>
    <n v="253108"/>
    <n v="4252"/>
    <n v="400"/>
    <n v="4788.7299999999996"/>
    <n v="15852.17"/>
    <n v="1.68"/>
    <n v="9.41"/>
    <n v="1.1299999999999999"/>
    <n v="11.97"/>
    <n v="3.31"/>
    <n v="231.03"/>
  </r>
  <r>
    <s v="CMP0554"/>
    <s v="Reduced impactful monitoring"/>
    <x v="4"/>
    <s v="Retention"/>
    <s v="USA"/>
    <d v="2024-08-25T00:00:00"/>
    <d v="2024-09-29T00:00:00"/>
    <n v="271491"/>
    <n v="5348"/>
    <n v="252"/>
    <n v="11124.41"/>
    <n v="67486.679999999993"/>
    <n v="1.97"/>
    <n v="4.72"/>
    <n v="2.08"/>
    <n v="44.14"/>
    <n v="6.07"/>
    <n v="506.65"/>
  </r>
  <r>
    <s v="CMP0555"/>
    <s v="Switchable responsive extranet"/>
    <x v="0"/>
    <s v="Awareness"/>
    <s v="USA"/>
    <d v="2024-06-14T00:00:00"/>
    <d v="2024-07-19T00:00:00"/>
    <n v="458279"/>
    <n v="22180"/>
    <n v="2078"/>
    <n v="15928.14"/>
    <n v="60029.98"/>
    <n v="4.84"/>
    <n v="9.3699999999999992"/>
    <n v="0.72"/>
    <n v="7.67"/>
    <n v="3.77"/>
    <n v="276.88"/>
  </r>
  <r>
    <s v="CMP0556"/>
    <s v="User-centric hybrid open system"/>
    <x v="0"/>
    <s v="Lead Generation"/>
    <s v="Canada"/>
    <d v="2024-06-14T00:00:00"/>
    <d v="2024-07-01T00:00:00"/>
    <n v="359495"/>
    <n v="21893"/>
    <n v="2051"/>
    <n v="22650.97"/>
    <n v="54493.9"/>
    <n v="6.09"/>
    <n v="9.3699999999999992"/>
    <n v="1.03"/>
    <n v="11.04"/>
    <n v="2.41"/>
    <n v="140.58000000000001"/>
  </r>
  <r>
    <s v="CMP0557"/>
    <s v="Focused actuating protocol"/>
    <x v="0"/>
    <s v="Awareness"/>
    <s v="India"/>
    <d v="2024-09-18T00:00:00"/>
    <d v="2024-10-05T00:00:00"/>
    <n v="420266"/>
    <n v="18071"/>
    <n v="1116"/>
    <n v="15476.35"/>
    <n v="57701.919999999998"/>
    <n v="4.3"/>
    <n v="6.18"/>
    <n v="0.86"/>
    <n v="13.87"/>
    <n v="3.73"/>
    <n v="272.83999999999997"/>
  </r>
  <r>
    <s v="CMP0558"/>
    <s v="Total composite challenge"/>
    <x v="1"/>
    <s v="Retention"/>
    <s v="India"/>
    <d v="2024-03-24T00:00:00"/>
    <d v="2024-04-09T00:00:00"/>
    <n v="452789"/>
    <n v="4935"/>
    <n v="362"/>
    <n v="17940.89"/>
    <n v="105528.78"/>
    <n v="1.0900000000000001"/>
    <n v="7.35"/>
    <n v="3.64"/>
    <n v="49.56"/>
    <n v="5.88"/>
    <n v="488.2"/>
  </r>
  <r>
    <s v="CMP0559"/>
    <s v="Diverse needs-based firmware"/>
    <x v="2"/>
    <s v="Awareness"/>
    <s v="Canada"/>
    <d v="2024-03-01T00:00:00"/>
    <d v="2024-03-16T00:00:00"/>
    <n v="211513"/>
    <n v="5139"/>
    <n v="300"/>
    <n v="9693.8700000000008"/>
    <n v="46715.13"/>
    <n v="2.4300000000000002"/>
    <n v="5.84"/>
    <n v="1.89"/>
    <n v="32.31"/>
    <n v="4.82"/>
    <n v="381.9"/>
  </r>
  <r>
    <s v="CMP0560"/>
    <s v="Phased context-sensitive function"/>
    <x v="2"/>
    <s v="Awareness"/>
    <s v="Australia"/>
    <d v="2024-01-03T00:00:00"/>
    <d v="2024-02-17T00:00:00"/>
    <n v="451287"/>
    <n v="10199"/>
    <n v="437"/>
    <n v="15831.17"/>
    <n v="70381.509999999995"/>
    <n v="2.2599999999999998"/>
    <n v="4.29"/>
    <n v="1.55"/>
    <n v="36.229999999999997"/>
    <n v="4.45"/>
    <n v="344.58"/>
  </r>
  <r>
    <s v="CMP0561"/>
    <s v="Digitized client-server knowledgebase"/>
    <x v="1"/>
    <s v="Lead Generation"/>
    <s v="USA"/>
    <d v="2024-01-04T00:00:00"/>
    <d v="2024-01-26T00:00:00"/>
    <n v="358733"/>
    <n v="6887"/>
    <n v="563"/>
    <n v="11070.01"/>
    <n v="52089.65"/>
    <n v="1.92"/>
    <n v="8.18"/>
    <n v="1.61"/>
    <n v="19.66"/>
    <n v="4.71"/>
    <n v="370.55"/>
  </r>
  <r>
    <s v="CMP0562"/>
    <s v="Seamless local migration"/>
    <x v="3"/>
    <s v="Conversion"/>
    <s v="Australia"/>
    <d v="2024-06-27T00:00:00"/>
    <d v="2024-07-06T00:00:00"/>
    <n v="379586"/>
    <n v="27899"/>
    <n v="4533"/>
    <n v="720.13"/>
    <n v="1920.7"/>
    <n v="7.35"/>
    <n v="16.25"/>
    <n v="0.03"/>
    <n v="0.16"/>
    <n v="2.67"/>
    <n v="166.72"/>
  </r>
  <r>
    <s v="CMP0563"/>
    <s v="Pre-emptive user-facing frame"/>
    <x v="2"/>
    <s v="Awareness"/>
    <s v="Australia"/>
    <d v="2024-04-01T00:00:00"/>
    <d v="2024-04-18T00:00:00"/>
    <n v="489360"/>
    <n v="16197"/>
    <n v="592"/>
    <n v="4315.54"/>
    <n v="10745.67"/>
    <n v="3.31"/>
    <n v="3.66"/>
    <n v="0.27"/>
    <n v="7.29"/>
    <n v="2.4900000000000002"/>
    <n v="149"/>
  </r>
  <r>
    <s v="CMP0564"/>
    <s v="Front-line real-time algorithm"/>
    <x v="4"/>
    <s v="Lead Generation"/>
    <s v="Canada"/>
    <d v="2024-07-07T00:00:00"/>
    <d v="2024-08-07T00:00:00"/>
    <n v="442867"/>
    <n v="12001"/>
    <n v="571"/>
    <n v="3664.08"/>
    <n v="12263.04"/>
    <n v="2.71"/>
    <n v="4.76"/>
    <n v="0.31"/>
    <n v="6.42"/>
    <n v="3.35"/>
    <n v="234.68"/>
  </r>
  <r>
    <s v="CMP0565"/>
    <s v="Horizontal content-based website"/>
    <x v="0"/>
    <s v="Retention"/>
    <s v="Australia"/>
    <d v="2024-09-26T00:00:00"/>
    <d v="2024-10-29T00:00:00"/>
    <n v="84039"/>
    <n v="3084"/>
    <n v="148"/>
    <n v="18892.39"/>
    <n v="61114.68"/>
    <n v="3.67"/>
    <n v="4.8099999999999996"/>
    <n v="6.13"/>
    <n v="127.65"/>
    <n v="3.23"/>
    <n v="223.49"/>
  </r>
  <r>
    <s v="CMP0566"/>
    <s v="Progressive regional knowledgebase"/>
    <x v="3"/>
    <s v="Lead Generation"/>
    <s v="USA"/>
    <d v="2024-02-14T00:00:00"/>
    <d v="2024-03-22T00:00:00"/>
    <n v="370892"/>
    <n v="16133"/>
    <n v="2211"/>
    <n v="4907.07"/>
    <n v="21494.240000000002"/>
    <n v="4.3499999999999996"/>
    <n v="13.71"/>
    <n v="0.3"/>
    <n v="2.2200000000000002"/>
    <n v="4.38"/>
    <n v="338.03"/>
  </r>
  <r>
    <s v="CMP0567"/>
    <s v="Realigned modular framework"/>
    <x v="3"/>
    <s v="Conversion"/>
    <s v="Canada"/>
    <d v="2024-03-07T00:00:00"/>
    <d v="2024-04-19T00:00:00"/>
    <n v="369209"/>
    <n v="33561"/>
    <n v="3557"/>
    <n v="3088.14"/>
    <n v="14837.27"/>
    <n v="9.09"/>
    <n v="10.6"/>
    <n v="0.09"/>
    <n v="0.87"/>
    <n v="4.8"/>
    <n v="380.46"/>
  </r>
  <r>
    <s v="CMP0568"/>
    <s v="Fully-configurable upward-trending access"/>
    <x v="1"/>
    <s v="Retention"/>
    <s v="Canada"/>
    <d v="2024-01-01T00:00:00"/>
    <d v="2024-01-15T00:00:00"/>
    <n v="473614"/>
    <n v="5257"/>
    <n v="487"/>
    <n v="15337.39"/>
    <n v="98261.43"/>
    <n v="1.1100000000000001"/>
    <n v="9.27"/>
    <n v="2.92"/>
    <n v="31.49"/>
    <n v="6.41"/>
    <n v="540.66999999999996"/>
  </r>
  <r>
    <s v="CMP0569"/>
    <s v="Re-contextualized interactive monitoring"/>
    <x v="0"/>
    <s v="Retention"/>
    <s v="India"/>
    <d v="2024-06-19T00:00:00"/>
    <d v="2024-07-18T00:00:00"/>
    <n v="436645"/>
    <n v="25718"/>
    <n v="2263"/>
    <n v="24979.74"/>
    <n v="96501.36"/>
    <n v="5.89"/>
    <n v="8.8000000000000007"/>
    <n v="0.97"/>
    <n v="11.04"/>
    <n v="3.86"/>
    <n v="286.32"/>
  </r>
  <r>
    <s v="CMP0570"/>
    <s v="Reduced reciprocal definition"/>
    <x v="3"/>
    <s v="Lead Generation"/>
    <s v="India"/>
    <d v="2024-09-16T00:00:00"/>
    <d v="2024-10-28T00:00:00"/>
    <n v="385868"/>
    <n v="20103"/>
    <n v="2175"/>
    <n v="4055.88"/>
    <n v="13729.06"/>
    <n v="5.21"/>
    <n v="10.82"/>
    <n v="0.2"/>
    <n v="1.86"/>
    <n v="3.38"/>
    <n v="238.5"/>
  </r>
  <r>
    <s v="CMP0571"/>
    <s v="Synergized zero-defect extranet"/>
    <x v="4"/>
    <s v="Awareness"/>
    <s v="India"/>
    <d v="2024-03-30T00:00:00"/>
    <d v="2024-04-18T00:00:00"/>
    <n v="409575"/>
    <n v="8478"/>
    <n v="245"/>
    <n v="9611.52"/>
    <n v="60749.69"/>
    <n v="2.0699999999999998"/>
    <n v="2.89"/>
    <n v="1.1299999999999999"/>
    <n v="39.229999999999997"/>
    <n v="6.32"/>
    <n v="532.04999999999995"/>
  </r>
  <r>
    <s v="CMP0572"/>
    <s v="User-centric 24/7 function"/>
    <x v="4"/>
    <s v="Conversion"/>
    <s v="Canada"/>
    <d v="2024-10-01T00:00:00"/>
    <d v="2024-10-29T00:00:00"/>
    <n v="298774"/>
    <n v="9769"/>
    <n v="367"/>
    <n v="8518.69"/>
    <n v="41080.550000000003"/>
    <n v="3.27"/>
    <n v="3.76"/>
    <n v="0.87"/>
    <n v="23.21"/>
    <n v="4.82"/>
    <n v="382.24"/>
  </r>
  <r>
    <s v="CMP0573"/>
    <s v="Implemented fresh-thinking firmware"/>
    <x v="1"/>
    <s v="Retention"/>
    <s v="India"/>
    <d v="2024-01-10T00:00:00"/>
    <d v="2024-01-30T00:00:00"/>
    <n v="487835"/>
    <n v="8244"/>
    <n v="737"/>
    <n v="14851.16"/>
    <n v="66804.929999999993"/>
    <n v="1.69"/>
    <n v="8.9499999999999993"/>
    <n v="1.8"/>
    <n v="20.149999999999999"/>
    <n v="4.5"/>
    <n v="349.83"/>
  </r>
  <r>
    <s v="CMP0574"/>
    <s v="Devolved attitude-oriented pricing structure"/>
    <x v="3"/>
    <s v="Conversion"/>
    <s v="UK"/>
    <d v="2024-11-16T00:00:00"/>
    <d v="2024-12-27T00:00:00"/>
    <n v="84714"/>
    <n v="8318"/>
    <n v="898"/>
    <n v="640.28"/>
    <n v="4114.62"/>
    <n v="9.82"/>
    <n v="10.8"/>
    <n v="0.08"/>
    <n v="0.71"/>
    <n v="6.43"/>
    <n v="542.63"/>
  </r>
  <r>
    <s v="CMP0575"/>
    <s v="Optional directional policy"/>
    <x v="2"/>
    <s v="Retention"/>
    <s v="USA"/>
    <d v="2024-01-17T00:00:00"/>
    <d v="2024-02-10T00:00:00"/>
    <n v="362051"/>
    <n v="6697"/>
    <n v="395"/>
    <n v="7624.22"/>
    <n v="44679.360000000001"/>
    <n v="1.85"/>
    <n v="5.91"/>
    <n v="1.1399999999999999"/>
    <n v="19.3"/>
    <n v="5.86"/>
    <n v="486.02"/>
  </r>
  <r>
    <s v="CMP0576"/>
    <s v="Reactive user-facing hierarchy"/>
    <x v="1"/>
    <s v="Awareness"/>
    <s v="Canada"/>
    <d v="2024-03-30T00:00:00"/>
    <d v="2024-04-13T00:00:00"/>
    <n v="174592"/>
    <n v="2496"/>
    <n v="269"/>
    <n v="8842.06"/>
    <n v="38577.480000000003"/>
    <n v="1.43"/>
    <n v="10.81"/>
    <n v="3.54"/>
    <n v="32.869999999999997"/>
    <n v="4.3600000000000003"/>
    <n v="336.3"/>
  </r>
  <r>
    <s v="CMP0577"/>
    <s v="Distributed dedicated capability"/>
    <x v="4"/>
    <s v="Awareness"/>
    <s v="USA"/>
    <d v="2024-04-07T00:00:00"/>
    <d v="2024-05-05T00:00:00"/>
    <n v="98551"/>
    <n v="2315"/>
    <n v="36"/>
    <n v="8533.2900000000009"/>
    <n v="36268.57"/>
    <n v="2.35"/>
    <n v="1.59"/>
    <n v="3.69"/>
    <n v="237.04"/>
    <n v="4.25"/>
    <n v="325.02"/>
  </r>
  <r>
    <s v="CMP0578"/>
    <s v="Expanded human-resource benchmark"/>
    <x v="1"/>
    <s v="Conversion"/>
    <s v="UK"/>
    <d v="2024-03-08T00:00:00"/>
    <d v="2024-03-28T00:00:00"/>
    <n v="125127"/>
    <n v="2640"/>
    <n v="150"/>
    <n v="19716.38"/>
    <n v="85227.199999999997"/>
    <n v="2.11"/>
    <n v="5.69"/>
    <n v="7.47"/>
    <n v="131.44"/>
    <n v="4.32"/>
    <n v="332.27"/>
  </r>
  <r>
    <s v="CMP0579"/>
    <s v="Cloned reciprocal knowledge user"/>
    <x v="0"/>
    <s v="Retention"/>
    <s v="Canada"/>
    <d v="2024-10-31T00:00:00"/>
    <d v="2024-11-12T00:00:00"/>
    <n v="424172"/>
    <n v="25280"/>
    <n v="1188"/>
    <n v="11219.63"/>
    <n v="24662.26"/>
    <n v="5.96"/>
    <n v="4.7"/>
    <n v="0.44"/>
    <n v="9.44"/>
    <n v="2.2000000000000002"/>
    <n v="119.81"/>
  </r>
  <r>
    <s v="CMP0580"/>
    <s v="Profit-focused contextually-based open architecture"/>
    <x v="4"/>
    <s v="Retention"/>
    <s v="India"/>
    <d v="2024-06-08T00:00:00"/>
    <d v="2024-06-28T00:00:00"/>
    <n v="104055"/>
    <n v="2653"/>
    <n v="101"/>
    <n v="6406.01"/>
    <n v="29461.360000000001"/>
    <n v="2.5499999999999998"/>
    <n v="3.81"/>
    <n v="2.41"/>
    <n v="63.43"/>
    <n v="4.5999999999999996"/>
    <n v="359.9"/>
  </r>
  <r>
    <s v="CMP0581"/>
    <s v="Up-sized background infrastructure"/>
    <x v="4"/>
    <s v="Lead Generation"/>
    <s v="USA"/>
    <d v="2024-03-17T00:00:00"/>
    <d v="2024-04-03T00:00:00"/>
    <n v="200243"/>
    <n v="3844"/>
    <n v="100"/>
    <n v="8013.95"/>
    <n v="20270.72"/>
    <n v="1.92"/>
    <n v="2.62"/>
    <n v="2.08"/>
    <n v="80.14"/>
    <n v="2.5299999999999998"/>
    <n v="152.94"/>
  </r>
  <r>
    <s v="CMP0582"/>
    <s v="Up-sized secondary core"/>
    <x v="4"/>
    <s v="Awareness"/>
    <s v="India"/>
    <d v="2024-05-18T00:00:00"/>
    <d v="2024-06-03T00:00:00"/>
    <n v="376602"/>
    <n v="10017"/>
    <n v="186"/>
    <n v="9281.61"/>
    <n v="41508.71"/>
    <n v="2.66"/>
    <n v="1.86"/>
    <n v="0.93"/>
    <n v="49.9"/>
    <n v="4.47"/>
    <n v="347.21"/>
  </r>
  <r>
    <s v="CMP0583"/>
    <s v="Automated clear-thinking middleware"/>
    <x v="4"/>
    <s v="Lead Generation"/>
    <s v="USA"/>
    <d v="2024-01-15T00:00:00"/>
    <d v="2024-02-21T00:00:00"/>
    <n v="87351"/>
    <n v="1755"/>
    <n v="81"/>
    <n v="9257.2099999999991"/>
    <n v="20627.54"/>
    <n v="2.0099999999999998"/>
    <n v="4.62"/>
    <n v="5.27"/>
    <n v="114.29"/>
    <n v="2.23"/>
    <n v="122.83"/>
  </r>
  <r>
    <s v="CMP0584"/>
    <s v="Advanced clear-thinking project"/>
    <x v="0"/>
    <s v="Awareness"/>
    <s v="Canada"/>
    <d v="2024-11-18T00:00:00"/>
    <d v="2024-12-23T00:00:00"/>
    <n v="78206"/>
    <n v="2221"/>
    <n v="141"/>
    <n v="19093.55"/>
    <n v="114766.39"/>
    <n v="2.84"/>
    <n v="6.35"/>
    <n v="8.6"/>
    <n v="135.41999999999999"/>
    <n v="6.01"/>
    <n v="501.07"/>
  </r>
  <r>
    <s v="CMP0585"/>
    <s v="Fundamental empowering architecture"/>
    <x v="3"/>
    <s v="Conversion"/>
    <s v="UK"/>
    <d v="2024-08-26T00:00:00"/>
    <d v="2024-10-08T00:00:00"/>
    <n v="224237"/>
    <n v="19957"/>
    <n v="3019"/>
    <n v="3518.92"/>
    <n v="15485.65"/>
    <n v="8.9"/>
    <n v="15.13"/>
    <n v="0.18"/>
    <n v="1.17"/>
    <n v="4.4000000000000004"/>
    <n v="340.07"/>
  </r>
  <r>
    <s v="CMP0586"/>
    <s v="Cross-platform even-keeled hardware"/>
    <x v="2"/>
    <s v="Awareness"/>
    <s v="Canada"/>
    <d v="2024-04-28T00:00:00"/>
    <d v="2024-05-19T00:00:00"/>
    <n v="100993"/>
    <n v="2898"/>
    <n v="157"/>
    <n v="13653.24"/>
    <n v="55900.25"/>
    <n v="2.87"/>
    <n v="5.42"/>
    <n v="4.71"/>
    <n v="86.96"/>
    <n v="4.09"/>
    <n v="309.43"/>
  </r>
  <r>
    <s v="CMP0587"/>
    <s v="Optional 5thgeneration flexibility"/>
    <x v="2"/>
    <s v="Conversion"/>
    <s v="UK"/>
    <d v="2024-06-15T00:00:00"/>
    <d v="2024-07-21T00:00:00"/>
    <n v="255561"/>
    <n v="5239"/>
    <n v="345"/>
    <n v="7954.92"/>
    <n v="46723.72"/>
    <n v="2.0499999999999998"/>
    <n v="6.59"/>
    <n v="1.52"/>
    <n v="23.06"/>
    <n v="5.87"/>
    <n v="487.36"/>
  </r>
  <r>
    <s v="CMP0588"/>
    <s v="Object-based responsive Graphic Interface"/>
    <x v="1"/>
    <s v="Awareness"/>
    <s v="India"/>
    <d v="2024-06-27T00:00:00"/>
    <d v="2024-08-11T00:00:00"/>
    <n v="299212"/>
    <n v="2962"/>
    <n v="247"/>
    <n v="17532.259999999998"/>
    <n v="57333.26"/>
    <n v="0.99"/>
    <n v="8.35"/>
    <n v="5.92"/>
    <n v="70.98"/>
    <n v="3.27"/>
    <n v="227.02"/>
  </r>
  <r>
    <s v="CMP0589"/>
    <s v="Implemented next generation customer loyalty"/>
    <x v="3"/>
    <s v="Lead Generation"/>
    <s v="Australia"/>
    <d v="2024-02-06T00:00:00"/>
    <d v="2024-03-03T00:00:00"/>
    <n v="103966"/>
    <n v="6685"/>
    <n v="1012"/>
    <n v="981.42"/>
    <n v="4419.01"/>
    <n v="6.43"/>
    <n v="15.14"/>
    <n v="0.15"/>
    <n v="0.97"/>
    <n v="4.5"/>
    <n v="350.27"/>
  </r>
  <r>
    <s v="CMP0590"/>
    <s v="Managed user-facing model"/>
    <x v="3"/>
    <s v="Retention"/>
    <s v="Canada"/>
    <d v="2024-07-15T00:00:00"/>
    <d v="2024-07-26T00:00:00"/>
    <n v="359610"/>
    <n v="23302"/>
    <n v="3311"/>
    <n v="2965.77"/>
    <n v="18929.060000000001"/>
    <n v="6.48"/>
    <n v="14.21"/>
    <n v="0.13"/>
    <n v="0.9"/>
    <n v="6.38"/>
    <n v="538.25"/>
  </r>
  <r>
    <s v="CMP0591"/>
    <s v="Monitored static emulation"/>
    <x v="4"/>
    <s v="Lead Generation"/>
    <s v="Australia"/>
    <d v="2024-04-30T00:00:00"/>
    <d v="2024-05-18T00:00:00"/>
    <n v="276045"/>
    <n v="8943"/>
    <n v="270"/>
    <n v="12341.58"/>
    <n v="54924.61"/>
    <n v="3.24"/>
    <n v="3.02"/>
    <n v="1.38"/>
    <n v="45.71"/>
    <n v="4.45"/>
    <n v="345.04"/>
  </r>
  <r>
    <s v="CMP0592"/>
    <s v="Optimized well-modulated array"/>
    <x v="0"/>
    <s v="Retention"/>
    <s v="India"/>
    <d v="2024-06-06T00:00:00"/>
    <d v="2024-07-08T00:00:00"/>
    <n v="360464"/>
    <n v="17590"/>
    <n v="1046"/>
    <n v="6953.08"/>
    <n v="27836.47"/>
    <n v="4.88"/>
    <n v="5.95"/>
    <n v="0.4"/>
    <n v="6.65"/>
    <n v="4"/>
    <n v="300.35000000000002"/>
  </r>
  <r>
    <s v="CMP0593"/>
    <s v="Realigned analyzing monitoring"/>
    <x v="0"/>
    <s v="Awareness"/>
    <s v="Australia"/>
    <d v="2024-04-21T00:00:00"/>
    <d v="2024-05-06T00:00:00"/>
    <n v="454406"/>
    <n v="26264"/>
    <n v="1565"/>
    <n v="17899.78"/>
    <n v="40751.89"/>
    <n v="5.78"/>
    <n v="5.96"/>
    <n v="0.68"/>
    <n v="11.44"/>
    <n v="2.2799999999999998"/>
    <n v="127.67"/>
  </r>
  <r>
    <s v="CMP0594"/>
    <s v="Versatile executive flexibility"/>
    <x v="3"/>
    <s v="Awareness"/>
    <s v="USA"/>
    <d v="2024-04-10T00:00:00"/>
    <d v="2024-04-30T00:00:00"/>
    <n v="396492"/>
    <n v="19428"/>
    <n v="2585"/>
    <n v="2254.92"/>
    <n v="10374.19"/>
    <n v="4.9000000000000004"/>
    <n v="13.31"/>
    <n v="0.12"/>
    <n v="0.87"/>
    <n v="4.5999999999999996"/>
    <n v="360.07"/>
  </r>
  <r>
    <s v="CMP0595"/>
    <s v="Realigned hybrid methodology"/>
    <x v="4"/>
    <s v="Conversion"/>
    <s v="Australia"/>
    <d v="2024-06-25T00:00:00"/>
    <d v="2024-07-07T00:00:00"/>
    <n v="466466"/>
    <n v="16652"/>
    <n v="427"/>
    <n v="14291.67"/>
    <n v="56541.73"/>
    <n v="3.57"/>
    <n v="2.57"/>
    <n v="0.86"/>
    <n v="33.47"/>
    <n v="3.96"/>
    <n v="295.63"/>
  </r>
  <r>
    <s v="CMP0596"/>
    <s v="Reverse-engineered national concept"/>
    <x v="3"/>
    <s v="Awareness"/>
    <s v="Australia"/>
    <d v="2024-10-08T00:00:00"/>
    <d v="2024-10-18T00:00:00"/>
    <n v="317609"/>
    <n v="20422"/>
    <n v="1895"/>
    <n v="1823.83"/>
    <n v="6677.96"/>
    <n v="6.43"/>
    <n v="9.2799999999999994"/>
    <n v="0.09"/>
    <n v="0.96"/>
    <n v="3.66"/>
    <n v="266.14999999999998"/>
  </r>
  <r>
    <s v="CMP0597"/>
    <s v="Multi-tiered high-level toolset"/>
    <x v="0"/>
    <s v="Conversion"/>
    <s v="India"/>
    <d v="2024-06-11T00:00:00"/>
    <d v="2024-07-12T00:00:00"/>
    <n v="197958"/>
    <n v="11798"/>
    <n v="638"/>
    <n v="19044.439999999999"/>
    <n v="71877.67"/>
    <n v="5.96"/>
    <n v="5.41"/>
    <n v="1.61"/>
    <n v="29.85"/>
    <n v="3.77"/>
    <n v="277.42"/>
  </r>
  <r>
    <s v="CMP0598"/>
    <s v="Focused asynchronous challenge"/>
    <x v="1"/>
    <s v="Retention"/>
    <s v="Canada"/>
    <d v="2024-07-03T00:00:00"/>
    <d v="2024-08-05T00:00:00"/>
    <n v="335799"/>
    <n v="3895"/>
    <n v="241"/>
    <n v="6225.1"/>
    <n v="28009.200000000001"/>
    <n v="1.1599999999999999"/>
    <n v="6.21"/>
    <n v="1.6"/>
    <n v="25.83"/>
    <n v="4.5"/>
    <n v="349.94"/>
  </r>
  <r>
    <s v="CMP0599"/>
    <s v="Compatible modular standardization"/>
    <x v="2"/>
    <s v="Conversion"/>
    <s v="USA"/>
    <d v="2024-08-11T00:00:00"/>
    <d v="2024-08-26T00:00:00"/>
    <n v="120400"/>
    <n v="1842"/>
    <n v="96"/>
    <n v="5159.9399999999996"/>
    <n v="30866.76"/>
    <n v="1.53"/>
    <n v="5.24"/>
    <n v="2.8"/>
    <n v="53.75"/>
    <n v="5.98"/>
    <n v="498.2"/>
  </r>
  <r>
    <s v="CMP0600"/>
    <s v="Enhanced client-driven interface"/>
    <x v="0"/>
    <s v="Lead Generation"/>
    <s v="Canada"/>
    <d v="2024-08-20T00:00:00"/>
    <d v="2024-09-28T00:00:00"/>
    <n v="289090"/>
    <n v="17547"/>
    <n v="1433"/>
    <n v="23606.22"/>
    <n v="113418.87"/>
    <n v="6.07"/>
    <n v="8.17"/>
    <n v="1.35"/>
    <n v="16.47"/>
    <n v="4.8"/>
    <n v="380.46"/>
  </r>
  <r>
    <s v="CMP0601"/>
    <s v="Extended foreground conglomeration"/>
    <x v="1"/>
    <s v="Retention"/>
    <s v="Canada"/>
    <d v="2024-05-01T00:00:00"/>
    <d v="2024-06-09T00:00:00"/>
    <n v="236283"/>
    <n v="2788"/>
    <n v="222"/>
    <n v="4118.88"/>
    <n v="17471.080000000002"/>
    <n v="1.18"/>
    <n v="7.97"/>
    <n v="1.48"/>
    <n v="18.55"/>
    <n v="4.24"/>
    <n v="324.17"/>
  </r>
  <r>
    <s v="CMP0602"/>
    <s v="Proactive transitional synergy"/>
    <x v="4"/>
    <s v="Retention"/>
    <s v="Australia"/>
    <d v="2024-02-27T00:00:00"/>
    <d v="2024-04-11T00:00:00"/>
    <n v="352174"/>
    <n v="7571"/>
    <n v="372"/>
    <n v="9601.8700000000008"/>
    <n v="49660.6"/>
    <n v="2.15"/>
    <n v="4.92"/>
    <n v="1.27"/>
    <n v="25.81"/>
    <n v="5.17"/>
    <n v="417.2"/>
  </r>
  <r>
    <s v="CMP0603"/>
    <s v="Versatile neutral challenge"/>
    <x v="1"/>
    <s v="Awareness"/>
    <s v="USA"/>
    <d v="2024-08-26T00:00:00"/>
    <d v="2024-10-05T00:00:00"/>
    <n v="432827"/>
    <n v="8829"/>
    <n v="1049"/>
    <n v="19738.689999999999"/>
    <n v="108659.79"/>
    <n v="2.04"/>
    <n v="11.89"/>
    <n v="2.2400000000000002"/>
    <n v="18.82"/>
    <n v="5.5"/>
    <n v="450.49"/>
  </r>
  <r>
    <s v="CMP0604"/>
    <s v="Optional maximized concept"/>
    <x v="0"/>
    <s v="Awareness"/>
    <s v="USA"/>
    <d v="2024-10-03T00:00:00"/>
    <d v="2024-11-16T00:00:00"/>
    <n v="297700"/>
    <n v="14944"/>
    <n v="1192"/>
    <n v="18374.34"/>
    <n v="93311.02"/>
    <n v="5.0199999999999996"/>
    <n v="7.98"/>
    <n v="1.23"/>
    <n v="15.41"/>
    <n v="5.08"/>
    <n v="407.83"/>
  </r>
  <r>
    <s v="CMP0605"/>
    <s v="Digitized asynchronous definition"/>
    <x v="4"/>
    <s v="Awareness"/>
    <s v="UK"/>
    <d v="2024-06-18T00:00:00"/>
    <d v="2024-07-21T00:00:00"/>
    <n v="330511"/>
    <n v="10642"/>
    <n v="334"/>
    <n v="8908.2900000000009"/>
    <n v="36626.839999999997"/>
    <n v="3.22"/>
    <n v="3.14"/>
    <n v="0.84"/>
    <n v="26.67"/>
    <n v="4.1100000000000003"/>
    <n v="311.14999999999998"/>
  </r>
  <r>
    <s v="CMP0606"/>
    <s v="Assimilated empowering model"/>
    <x v="4"/>
    <s v="Conversion"/>
    <s v="UK"/>
    <d v="2024-10-15T00:00:00"/>
    <d v="2024-11-07T00:00:00"/>
    <n v="137822"/>
    <n v="1777"/>
    <n v="84"/>
    <n v="11867.82"/>
    <n v="62559.7"/>
    <n v="1.29"/>
    <n v="4.7300000000000004"/>
    <n v="6.68"/>
    <n v="141.28"/>
    <n v="5.27"/>
    <n v="427.14"/>
  </r>
  <r>
    <s v="CMP0607"/>
    <s v="Extended disintermediate ability"/>
    <x v="0"/>
    <s v="Retention"/>
    <s v="Australia"/>
    <d v="2024-01-14T00:00:00"/>
    <d v="2024-02-08T00:00:00"/>
    <n v="138646"/>
    <n v="6641"/>
    <n v="527"/>
    <n v="10835.06"/>
    <n v="57623.13"/>
    <n v="4.79"/>
    <n v="7.94"/>
    <n v="1.63"/>
    <n v="20.56"/>
    <n v="5.32"/>
    <n v="431.82"/>
  </r>
  <r>
    <s v="CMP0608"/>
    <s v="Managed directional infrastructure"/>
    <x v="1"/>
    <s v="Awareness"/>
    <s v="USA"/>
    <d v="2024-05-20T00:00:00"/>
    <d v="2024-06-12T00:00:00"/>
    <n v="315077"/>
    <n v="2930"/>
    <n v="307"/>
    <n v="8032.82"/>
    <n v="38325.31"/>
    <n v="0.93"/>
    <n v="10.49"/>
    <n v="2.74"/>
    <n v="26.17"/>
    <n v="4.7699999999999996"/>
    <n v="377.11"/>
  </r>
  <r>
    <s v="CMP0609"/>
    <s v="Seamless analyzing methodology"/>
    <x v="0"/>
    <s v="Awareness"/>
    <s v="Australia"/>
    <d v="2024-03-30T00:00:00"/>
    <d v="2024-04-22T00:00:00"/>
    <n v="141547"/>
    <n v="8690"/>
    <n v="732"/>
    <n v="18183.11"/>
    <n v="66622.02"/>
    <n v="6.14"/>
    <n v="8.43"/>
    <n v="2.09"/>
    <n v="24.84"/>
    <n v="3.66"/>
    <n v="266.39999999999998"/>
  </r>
  <r>
    <s v="CMP0610"/>
    <s v="Streamlined encompassing archive"/>
    <x v="2"/>
    <s v="Retention"/>
    <s v="USA"/>
    <d v="2024-10-31T00:00:00"/>
    <d v="2024-11-16T00:00:00"/>
    <n v="469101"/>
    <n v="14448"/>
    <n v="313"/>
    <n v="17761.07"/>
    <n v="112837.06"/>
    <n v="3.08"/>
    <n v="2.17"/>
    <n v="1.23"/>
    <n v="56.74"/>
    <n v="6.35"/>
    <n v="535.30999999999995"/>
  </r>
  <r>
    <s v="CMP0611"/>
    <s v="Business-focused regional implementation"/>
    <x v="1"/>
    <s v="Retention"/>
    <s v="Canada"/>
    <d v="2024-06-25T00:00:00"/>
    <d v="2024-07-05T00:00:00"/>
    <n v="174752"/>
    <n v="3355"/>
    <n v="338"/>
    <n v="6676.53"/>
    <n v="30711.43"/>
    <n v="1.92"/>
    <n v="10.08"/>
    <n v="1.99"/>
    <n v="19.75"/>
    <n v="4.5999999999999996"/>
    <n v="359.99"/>
  </r>
  <r>
    <s v="CMP0612"/>
    <s v="Cloned well-modulated artificial intelligence"/>
    <x v="4"/>
    <s v="Awareness"/>
    <s v="India"/>
    <d v="2024-09-29T00:00:00"/>
    <d v="2024-10-20T00:00:00"/>
    <n v="137870"/>
    <n v="3322"/>
    <n v="105"/>
    <n v="8453.33"/>
    <n v="52978.14"/>
    <n v="2.41"/>
    <n v="3.17"/>
    <n v="2.54"/>
    <n v="80.510000000000005"/>
    <n v="6.27"/>
    <n v="526.71"/>
  </r>
  <r>
    <s v="CMP0613"/>
    <s v="Versatile responsive website"/>
    <x v="1"/>
    <s v="Retention"/>
    <s v="Canada"/>
    <d v="2024-08-17T00:00:00"/>
    <d v="2024-09-17T00:00:00"/>
    <n v="187691"/>
    <n v="1970"/>
    <n v="218"/>
    <n v="4189.8100000000004"/>
    <n v="25861.61"/>
    <n v="1.05"/>
    <n v="11.09"/>
    <n v="2.13"/>
    <n v="19.22"/>
    <n v="6.17"/>
    <n v="517.25"/>
  </r>
  <r>
    <s v="CMP0614"/>
    <s v="Customer-focused zero administration archive"/>
    <x v="4"/>
    <s v="Awareness"/>
    <s v="India"/>
    <d v="2024-05-19T00:00:00"/>
    <d v="2024-06-16T00:00:00"/>
    <n v="328550"/>
    <n v="9396"/>
    <n v="455"/>
    <n v="7897.32"/>
    <n v="48419.96"/>
    <n v="2.86"/>
    <n v="4.8499999999999996"/>
    <n v="0.84"/>
    <n v="17.36"/>
    <n v="6.13"/>
    <n v="513.12"/>
  </r>
  <r>
    <s v="CMP0615"/>
    <s v="Phased fresh-thinking ability"/>
    <x v="4"/>
    <s v="Conversion"/>
    <s v="India"/>
    <d v="2024-10-28T00:00:00"/>
    <d v="2024-11-16T00:00:00"/>
    <n v="183873"/>
    <n v="5332"/>
    <n v="153"/>
    <n v="12164.39"/>
    <n v="65333.83"/>
    <n v="2.9"/>
    <n v="2.87"/>
    <n v="2.2799999999999998"/>
    <n v="79.510000000000005"/>
    <n v="5.37"/>
    <n v="437.09"/>
  </r>
  <r>
    <s v="CMP0616"/>
    <s v="Pre-emptive even-keeled projection"/>
    <x v="3"/>
    <s v="Conversion"/>
    <s v="USA"/>
    <d v="2024-02-20T00:00:00"/>
    <d v="2024-03-31T00:00:00"/>
    <n v="214243"/>
    <n v="15618"/>
    <n v="2300"/>
    <n v="4242.6000000000004"/>
    <n v="8713.56"/>
    <n v="7.29"/>
    <n v="14.73"/>
    <n v="0.27"/>
    <n v="1.84"/>
    <n v="2.0499999999999998"/>
    <n v="105.38"/>
  </r>
  <r>
    <s v="CMP0617"/>
    <s v="Stand-alone disintermediate forecast"/>
    <x v="0"/>
    <s v="Retention"/>
    <s v="UK"/>
    <d v="2024-01-30T00:00:00"/>
    <d v="2024-03-15T00:00:00"/>
    <n v="165037"/>
    <n v="8911"/>
    <n v="490"/>
    <n v="5680.84"/>
    <n v="27195.81"/>
    <n v="5.4"/>
    <n v="5.51"/>
    <n v="0.64"/>
    <n v="11.59"/>
    <n v="4.79"/>
    <n v="378.73"/>
  </r>
  <r>
    <s v="CMP0618"/>
    <s v="Universal responsive ability"/>
    <x v="2"/>
    <s v="Awareness"/>
    <s v="India"/>
    <d v="2024-10-16T00:00:00"/>
    <d v="2024-11-03T00:00:00"/>
    <n v="95291"/>
    <n v="3878"/>
    <n v="102"/>
    <n v="12845.92"/>
    <n v="77711.87"/>
    <n v="4.07"/>
    <n v="2.65"/>
    <n v="3.31"/>
    <n v="125.94"/>
    <n v="6.05"/>
    <n v="504.95"/>
  </r>
  <r>
    <s v="CMP0619"/>
    <s v="Synchronized tangible help-desk"/>
    <x v="0"/>
    <s v="Lead Generation"/>
    <s v="UK"/>
    <d v="2024-05-21T00:00:00"/>
    <d v="2024-06-24T00:00:00"/>
    <n v="204438"/>
    <n v="8933"/>
    <n v="859"/>
    <n v="17775.61"/>
    <n v="109357.85"/>
    <n v="4.37"/>
    <n v="9.6199999999999992"/>
    <n v="1.99"/>
    <n v="20.69"/>
    <n v="6.15"/>
    <n v="515.21"/>
  </r>
  <r>
    <s v="CMP0620"/>
    <s v="Open-source heuristic orchestration"/>
    <x v="4"/>
    <s v="Conversion"/>
    <s v="USA"/>
    <d v="2024-01-31T00:00:00"/>
    <d v="2024-02-23T00:00:00"/>
    <n v="459328"/>
    <n v="6384"/>
    <n v="269"/>
    <n v="7284.99"/>
    <n v="25475.22"/>
    <n v="1.39"/>
    <n v="4.22"/>
    <n v="1.1399999999999999"/>
    <n v="27.08"/>
    <n v="3.5"/>
    <n v="249.69"/>
  </r>
  <r>
    <s v="CMP0621"/>
    <s v="Down-sized 5thgeneration customer loyalty"/>
    <x v="4"/>
    <s v="Lead Generation"/>
    <s v="Canada"/>
    <d v="2024-09-08T00:00:00"/>
    <d v="2024-09-21T00:00:00"/>
    <n v="86384"/>
    <n v="2142"/>
    <n v="101"/>
    <n v="10128.77"/>
    <n v="28390.84"/>
    <n v="2.48"/>
    <n v="4.75"/>
    <n v="4.7300000000000004"/>
    <n v="100.28"/>
    <n v="2.8"/>
    <n v="180.3"/>
  </r>
  <r>
    <s v="CMP0622"/>
    <s v="Synchronized optimizing moratorium"/>
    <x v="2"/>
    <s v="Retention"/>
    <s v="USA"/>
    <d v="2024-02-07T00:00:00"/>
    <d v="2024-02-18T00:00:00"/>
    <n v="371895"/>
    <n v="12755"/>
    <n v="836"/>
    <n v="13731"/>
    <n v="33844.06"/>
    <n v="3.43"/>
    <n v="6.56"/>
    <n v="1.08"/>
    <n v="16.420000000000002"/>
    <n v="2.46"/>
    <n v="146.47999999999999"/>
  </r>
  <r>
    <s v="CMP0623"/>
    <s v="Focused non-volatile encryption"/>
    <x v="3"/>
    <s v="Conversion"/>
    <s v="Canada"/>
    <d v="2024-07-18T00:00:00"/>
    <d v="2024-08-11T00:00:00"/>
    <n v="59838"/>
    <n v="5612"/>
    <n v="532"/>
    <n v="3381.51"/>
    <n v="20958.669999999998"/>
    <n v="9.3800000000000008"/>
    <n v="9.49"/>
    <n v="0.6"/>
    <n v="6.36"/>
    <n v="6.2"/>
    <n v="519.79999999999995"/>
  </r>
  <r>
    <s v="CMP0624"/>
    <s v="Quality-focused content-based paradigm"/>
    <x v="2"/>
    <s v="Conversion"/>
    <s v="Canada"/>
    <d v="2024-07-25T00:00:00"/>
    <d v="2024-08-05T00:00:00"/>
    <n v="351276"/>
    <n v="5304"/>
    <n v="293"/>
    <n v="14564.86"/>
    <n v="60467.87"/>
    <n v="1.51"/>
    <n v="5.54"/>
    <n v="2.75"/>
    <n v="49.71"/>
    <n v="4.1500000000000004"/>
    <n v="315.16000000000003"/>
  </r>
  <r>
    <s v="CMP0625"/>
    <s v="Multi-tiered full-range support"/>
    <x v="3"/>
    <s v="Lead Generation"/>
    <s v="India"/>
    <d v="2024-07-02T00:00:00"/>
    <d v="2024-07-30T00:00:00"/>
    <n v="251548"/>
    <n v="24450"/>
    <n v="3956"/>
    <n v="2669.3"/>
    <n v="12152.25"/>
    <n v="9.7200000000000006"/>
    <n v="16.18"/>
    <n v="0.11"/>
    <n v="0.67"/>
    <n v="4.55"/>
    <n v="355.26"/>
  </r>
  <r>
    <s v="CMP0626"/>
    <s v="Public-key fresh-thinking matrices"/>
    <x v="4"/>
    <s v="Retention"/>
    <s v="India"/>
    <d v="2024-06-23T00:00:00"/>
    <d v="2024-07-05T00:00:00"/>
    <n v="381492"/>
    <n v="14458"/>
    <n v="543"/>
    <n v="7066.94"/>
    <n v="41271.21"/>
    <n v="3.79"/>
    <n v="3.76"/>
    <n v="0.49"/>
    <n v="13.01"/>
    <n v="5.84"/>
    <n v="484"/>
  </r>
  <r>
    <s v="CMP0627"/>
    <s v="Monitored systemic moderator"/>
    <x v="1"/>
    <s v="Conversion"/>
    <s v="USA"/>
    <d v="2024-07-18T00:00:00"/>
    <d v="2024-07-31T00:00:00"/>
    <n v="142598"/>
    <n v="2481"/>
    <n v="292"/>
    <n v="14571.75"/>
    <n v="48741.29"/>
    <n v="1.74"/>
    <n v="11.77"/>
    <n v="5.87"/>
    <n v="49.9"/>
    <n v="3.34"/>
    <n v="234.49"/>
  </r>
  <r>
    <s v="CMP0628"/>
    <s v="Organic didactic utilization"/>
    <x v="4"/>
    <s v="Retention"/>
    <s v="India"/>
    <d v="2024-10-30T00:00:00"/>
    <d v="2024-11-21T00:00:00"/>
    <n v="381764"/>
    <n v="8933"/>
    <n v="192"/>
    <n v="2946.23"/>
    <n v="6228.74"/>
    <n v="2.34"/>
    <n v="2.16"/>
    <n v="0.33"/>
    <n v="15.34"/>
    <n v="2.11"/>
    <n v="111.41"/>
  </r>
  <r>
    <s v="CMP0629"/>
    <s v="Polarized asynchronous alliance"/>
    <x v="1"/>
    <s v="Retention"/>
    <s v="India"/>
    <d v="2024-08-18T00:00:00"/>
    <d v="2024-08-26T00:00:00"/>
    <n v="465623"/>
    <n v="8008"/>
    <n v="572"/>
    <n v="12543.04"/>
    <n v="72174.240000000005"/>
    <n v="1.72"/>
    <n v="7.15"/>
    <n v="1.57"/>
    <n v="21.93"/>
    <n v="5.75"/>
    <n v="475.41"/>
  </r>
  <r>
    <s v="CMP0630"/>
    <s v="Managed fault-tolerant complexity"/>
    <x v="0"/>
    <s v="Conversion"/>
    <s v="India"/>
    <d v="2024-09-24T00:00:00"/>
    <d v="2024-10-30T00:00:00"/>
    <n v="227061"/>
    <n v="12828"/>
    <n v="546"/>
    <n v="7363.74"/>
    <n v="41472.339999999997"/>
    <n v="5.65"/>
    <n v="4.26"/>
    <n v="0.56999999999999995"/>
    <n v="13.49"/>
    <n v="5.63"/>
    <n v="463.2"/>
  </r>
  <r>
    <s v="CMP0631"/>
    <s v="Advanced reciprocal moratorium"/>
    <x v="3"/>
    <s v="Lead Generation"/>
    <s v="Australia"/>
    <d v="2024-08-29T00:00:00"/>
    <d v="2024-09-07T00:00:00"/>
    <n v="172151"/>
    <n v="16440"/>
    <n v="1376"/>
    <n v="1137.1600000000001"/>
    <n v="5620.12"/>
    <n v="9.5500000000000007"/>
    <n v="8.3699999999999992"/>
    <n v="7.0000000000000007E-2"/>
    <n v="0.83"/>
    <n v="4.9400000000000004"/>
    <n v="394.22"/>
  </r>
  <r>
    <s v="CMP0632"/>
    <s v="User-friendly real-time portal"/>
    <x v="2"/>
    <s v="Lead Generation"/>
    <s v="India"/>
    <d v="2024-11-08T00:00:00"/>
    <d v="2024-11-25T00:00:00"/>
    <n v="140308"/>
    <n v="4770"/>
    <n v="311"/>
    <n v="15311.09"/>
    <n v="37325.61"/>
    <n v="3.4"/>
    <n v="6.52"/>
    <n v="3.21"/>
    <n v="49.23"/>
    <n v="2.44"/>
    <n v="143.78"/>
  </r>
  <r>
    <s v="CMP0633"/>
    <s v="Progressive hybrid database"/>
    <x v="3"/>
    <s v="Awareness"/>
    <s v="India"/>
    <d v="2024-08-06T00:00:00"/>
    <d v="2024-09-03T00:00:00"/>
    <n v="109863"/>
    <n v="7668"/>
    <n v="1226"/>
    <n v="1492.58"/>
    <n v="8388.36"/>
    <n v="6.98"/>
    <n v="15.99"/>
    <n v="0.19"/>
    <n v="1.22"/>
    <n v="5.62"/>
    <n v="462"/>
  </r>
  <r>
    <s v="CMP0634"/>
    <s v="Networked well-modulated circuit"/>
    <x v="1"/>
    <s v="Conversion"/>
    <s v="India"/>
    <d v="2024-01-24T00:00:00"/>
    <d v="2024-03-08T00:00:00"/>
    <n v="408659"/>
    <n v="7274"/>
    <n v="433"/>
    <n v="17382.830000000002"/>
    <n v="96804.24"/>
    <n v="1.78"/>
    <n v="5.96"/>
    <n v="2.39"/>
    <n v="40.15"/>
    <n v="5.57"/>
    <n v="456.9"/>
  </r>
  <r>
    <s v="CMP0635"/>
    <s v="Cross-platform 3rdgeneration flexibility"/>
    <x v="2"/>
    <s v="Conversion"/>
    <s v="India"/>
    <d v="2024-03-25T00:00:00"/>
    <d v="2024-04-29T00:00:00"/>
    <n v="113305"/>
    <n v="2628"/>
    <n v="152"/>
    <n v="5520.76"/>
    <n v="20231.78"/>
    <n v="2.3199999999999998"/>
    <n v="5.79"/>
    <n v="2.1"/>
    <n v="36.32"/>
    <n v="3.66"/>
    <n v="266.47000000000003"/>
  </r>
  <r>
    <s v="CMP0636"/>
    <s v="Intuitive optimizing collaboration"/>
    <x v="2"/>
    <s v="Awareness"/>
    <s v="USA"/>
    <d v="2024-09-06T00:00:00"/>
    <d v="2024-09-18T00:00:00"/>
    <n v="102411"/>
    <n v="3963"/>
    <n v="204"/>
    <n v="8641.9699999999993"/>
    <n v="23418.799999999999"/>
    <n v="3.87"/>
    <n v="5.16"/>
    <n v="2.1800000000000002"/>
    <n v="42.36"/>
    <n v="2.71"/>
    <n v="170.99"/>
  </r>
  <r>
    <s v="CMP0637"/>
    <s v="Profit-focused zero tolerance intranet"/>
    <x v="0"/>
    <s v="Awareness"/>
    <s v="USA"/>
    <d v="2024-08-31T00:00:00"/>
    <d v="2024-09-15T00:00:00"/>
    <n v="96735"/>
    <n v="5155"/>
    <n v="389"/>
    <n v="10674.63"/>
    <n v="54662.28"/>
    <n v="5.33"/>
    <n v="7.56"/>
    <n v="2.0699999999999998"/>
    <n v="27.44"/>
    <n v="5.12"/>
    <n v="412.08"/>
  </r>
  <r>
    <s v="CMP0638"/>
    <s v="Cross-group incremental architecture"/>
    <x v="2"/>
    <s v="Lead Generation"/>
    <s v="UK"/>
    <d v="2024-11-01T00:00:00"/>
    <d v="2024-11-19T00:00:00"/>
    <n v="324248"/>
    <n v="9241"/>
    <n v="295"/>
    <n v="5618.23"/>
    <n v="28723.38"/>
    <n v="2.85"/>
    <n v="3.2"/>
    <n v="0.61"/>
    <n v="19.04"/>
    <n v="5.1100000000000003"/>
    <n v="411.25"/>
  </r>
  <r>
    <s v="CMP0639"/>
    <s v="Profound logistical conglomeration"/>
    <x v="1"/>
    <s v="Awareness"/>
    <s v="UK"/>
    <d v="2024-02-18T00:00:00"/>
    <d v="2024-03-19T00:00:00"/>
    <n v="232375"/>
    <n v="3508"/>
    <n v="312"/>
    <n v="7070.45"/>
    <n v="45531.69"/>
    <n v="1.51"/>
    <n v="8.9"/>
    <n v="2.02"/>
    <n v="22.66"/>
    <n v="6.44"/>
    <n v="543.97"/>
  </r>
  <r>
    <s v="CMP0640"/>
    <s v="Robust 24/7 ability"/>
    <x v="3"/>
    <s v="Lead Generation"/>
    <s v="Canada"/>
    <d v="2024-03-17T00:00:00"/>
    <d v="2024-04-23T00:00:00"/>
    <n v="453875"/>
    <n v="35220"/>
    <n v="3550"/>
    <n v="738.81"/>
    <n v="1852.24"/>
    <n v="7.76"/>
    <n v="10.08"/>
    <n v="0.02"/>
    <n v="0.21"/>
    <n v="2.5099999999999998"/>
    <n v="150.71"/>
  </r>
  <r>
    <s v="CMP0641"/>
    <s v="Automated 6thgeneration alliance"/>
    <x v="1"/>
    <s v="Lead Generation"/>
    <s v="USA"/>
    <d v="2024-05-08T00:00:00"/>
    <d v="2024-06-05T00:00:00"/>
    <n v="401347"/>
    <n v="9511"/>
    <n v="511"/>
    <n v="9827.09"/>
    <n v="28922.639999999999"/>
    <n v="2.37"/>
    <n v="5.38"/>
    <n v="1.03"/>
    <n v="19.23"/>
    <n v="2.94"/>
    <n v="194.32"/>
  </r>
  <r>
    <s v="CMP0642"/>
    <s v="Reduced well-modulated benchmark"/>
    <x v="3"/>
    <s v="Retention"/>
    <s v="India"/>
    <d v="2024-09-05T00:00:00"/>
    <d v="2024-10-14T00:00:00"/>
    <n v="104746"/>
    <n v="8840"/>
    <n v="1524"/>
    <n v="1291.49"/>
    <n v="7148.03"/>
    <n v="8.44"/>
    <n v="17.25"/>
    <n v="0.15"/>
    <n v="0.85"/>
    <n v="5.53"/>
    <n v="453.47"/>
  </r>
  <r>
    <s v="CMP0643"/>
    <s v="Team-oriented mobile challenge"/>
    <x v="0"/>
    <s v="Awareness"/>
    <s v="USA"/>
    <d v="2024-06-15T00:00:00"/>
    <d v="2024-07-06T00:00:00"/>
    <n v="428222"/>
    <n v="18327"/>
    <n v="1370"/>
    <n v="13381.33"/>
    <n v="71749.22"/>
    <n v="4.28"/>
    <n v="7.48"/>
    <n v="0.73"/>
    <n v="9.77"/>
    <n v="5.36"/>
    <n v="436.19"/>
  </r>
  <r>
    <s v="CMP0644"/>
    <s v="Grass-roots background alliance"/>
    <x v="0"/>
    <s v="Conversion"/>
    <s v="USA"/>
    <d v="2024-02-07T00:00:00"/>
    <d v="2024-03-15T00:00:00"/>
    <n v="101413"/>
    <n v="3498"/>
    <n v="226"/>
    <n v="8999.1200000000008"/>
    <n v="54095"/>
    <n v="3.45"/>
    <n v="6.48"/>
    <n v="2.57"/>
    <n v="39.82"/>
    <n v="6.01"/>
    <n v="501.11"/>
  </r>
  <r>
    <s v="CMP0645"/>
    <s v="Reduced zero-defect throughput"/>
    <x v="3"/>
    <s v="Retention"/>
    <s v="India"/>
    <d v="2024-03-10T00:00:00"/>
    <d v="2024-04-15T00:00:00"/>
    <n v="278518"/>
    <n v="13563"/>
    <n v="2343"/>
    <n v="2547.46"/>
    <n v="9535.11"/>
    <n v="4.87"/>
    <n v="17.28"/>
    <n v="0.19"/>
    <n v="1.0900000000000001"/>
    <n v="3.74"/>
    <n v="274.3"/>
  </r>
  <r>
    <s v="CMP0646"/>
    <s v="Customer-focused disintermediate capacity"/>
    <x v="2"/>
    <s v="Conversion"/>
    <s v="UK"/>
    <d v="2024-02-26T00:00:00"/>
    <d v="2024-04-02T00:00:00"/>
    <n v="156016"/>
    <n v="3916"/>
    <n v="84"/>
    <n v="11529.99"/>
    <n v="37619.11"/>
    <n v="2.5099999999999998"/>
    <n v="2.16"/>
    <n v="2.94"/>
    <n v="137.26"/>
    <n v="3.26"/>
    <n v="226.27"/>
  </r>
  <r>
    <s v="CMP0647"/>
    <s v="Balanced neutral algorithm"/>
    <x v="1"/>
    <s v="Retention"/>
    <s v="USA"/>
    <d v="2024-11-22T00:00:00"/>
    <d v="2024-12-09T00:00:00"/>
    <n v="448636"/>
    <n v="6191"/>
    <n v="693"/>
    <n v="13658.18"/>
    <n v="75843.350000000006"/>
    <n v="1.38"/>
    <n v="11.2"/>
    <n v="2.21"/>
    <n v="19.71"/>
    <n v="5.55"/>
    <n v="455.3"/>
  </r>
  <r>
    <s v="CMP0648"/>
    <s v="Multi-lateral executive contingency"/>
    <x v="3"/>
    <s v="Lead Generation"/>
    <s v="India"/>
    <d v="2024-08-24T00:00:00"/>
    <d v="2024-09-17T00:00:00"/>
    <n v="265847"/>
    <n v="24298"/>
    <n v="3132"/>
    <n v="4980.49"/>
    <n v="23219.61"/>
    <n v="9.14"/>
    <n v="12.89"/>
    <n v="0.2"/>
    <n v="1.59"/>
    <n v="4.66"/>
    <n v="366.21"/>
  </r>
  <r>
    <s v="CMP0649"/>
    <s v="Persevering heuristic portal"/>
    <x v="0"/>
    <s v="Retention"/>
    <s v="USA"/>
    <d v="2024-03-17T00:00:00"/>
    <d v="2024-04-29T00:00:00"/>
    <n v="179935"/>
    <n v="6855"/>
    <n v="512"/>
    <n v="22836.45"/>
    <n v="106485.73"/>
    <n v="3.81"/>
    <n v="7.48"/>
    <n v="3.33"/>
    <n v="44.6"/>
    <n v="4.66"/>
    <n v="366.3"/>
  </r>
  <r>
    <s v="CMP0650"/>
    <s v="Face-to-face exuding software"/>
    <x v="0"/>
    <s v="Retention"/>
    <s v="India"/>
    <d v="2024-07-20T00:00:00"/>
    <d v="2024-08-26T00:00:00"/>
    <n v="71002"/>
    <n v="4593"/>
    <n v="385"/>
    <n v="15084.33"/>
    <n v="59064.800000000003"/>
    <n v="6.47"/>
    <n v="8.4"/>
    <n v="3.28"/>
    <n v="39.18"/>
    <n v="3.92"/>
    <n v="291.56"/>
  </r>
  <r>
    <s v="CMP0651"/>
    <s v="Front-line coherent Graphical User Interface"/>
    <x v="0"/>
    <s v="Retention"/>
    <s v="Canada"/>
    <d v="2024-04-21T00:00:00"/>
    <d v="2024-05-06T00:00:00"/>
    <n v="176097"/>
    <n v="4983"/>
    <n v="424"/>
    <n v="18863.2"/>
    <n v="72241.929999999993"/>
    <n v="2.83"/>
    <n v="8.52"/>
    <n v="3.79"/>
    <n v="44.49"/>
    <n v="3.83"/>
    <n v="282.98"/>
  </r>
  <r>
    <s v="CMP0652"/>
    <s v="Realigned regional analyzer"/>
    <x v="4"/>
    <s v="Conversion"/>
    <s v="USA"/>
    <d v="2024-08-23T00:00:00"/>
    <d v="2024-10-05T00:00:00"/>
    <n v="389549"/>
    <n v="14802"/>
    <n v="230"/>
    <n v="10862.95"/>
    <n v="29635.35"/>
    <n v="3.8"/>
    <n v="1.56"/>
    <n v="0.73"/>
    <n v="47.23"/>
    <n v="2.73"/>
    <n v="172.81"/>
  </r>
  <r>
    <s v="CMP0653"/>
    <s v="Implemented exuding application"/>
    <x v="3"/>
    <s v="Awareness"/>
    <s v="Canada"/>
    <d v="2024-07-08T00:00:00"/>
    <d v="2024-08-13T00:00:00"/>
    <n v="293144"/>
    <n v="25298"/>
    <n v="4234"/>
    <n v="2324.12"/>
    <n v="12909.01"/>
    <n v="8.6300000000000008"/>
    <n v="16.739999999999998"/>
    <n v="0.09"/>
    <n v="0.55000000000000004"/>
    <n v="5.55"/>
    <n v="455.44"/>
  </r>
  <r>
    <s v="CMP0654"/>
    <s v="Enhanced uniform definition"/>
    <x v="0"/>
    <s v="Awareness"/>
    <s v="Canada"/>
    <d v="2024-11-09T00:00:00"/>
    <d v="2024-12-20T00:00:00"/>
    <n v="412152"/>
    <n v="15785"/>
    <n v="662"/>
    <n v="13518.05"/>
    <n v="43447.72"/>
    <n v="3.83"/>
    <n v="4.2"/>
    <n v="0.86"/>
    <n v="20.420000000000002"/>
    <n v="3.21"/>
    <n v="221.41"/>
  </r>
  <r>
    <s v="CMP0655"/>
    <s v="Open-architected uniform task-force"/>
    <x v="3"/>
    <s v="Lead Generation"/>
    <s v="India"/>
    <d v="2024-07-05T00:00:00"/>
    <d v="2024-07-15T00:00:00"/>
    <n v="375297"/>
    <n v="34865"/>
    <n v="5355"/>
    <n v="746.65"/>
    <n v="4669.51"/>
    <n v="9.2899999999999991"/>
    <n v="15.36"/>
    <n v="0.02"/>
    <n v="0.14000000000000001"/>
    <n v="6.25"/>
    <n v="525.39"/>
  </r>
  <r>
    <s v="CMP0656"/>
    <s v="Progressive human-resource capability"/>
    <x v="0"/>
    <s v="Retention"/>
    <s v="UK"/>
    <d v="2024-02-04T00:00:00"/>
    <d v="2024-03-17T00:00:00"/>
    <n v="293978"/>
    <n v="14640"/>
    <n v="906"/>
    <n v="8505.35"/>
    <n v="38397.89"/>
    <n v="4.9800000000000004"/>
    <n v="6.19"/>
    <n v="0.57999999999999996"/>
    <n v="9.39"/>
    <n v="4.51"/>
    <n v="351.46"/>
  </r>
  <r>
    <s v="CMP0657"/>
    <s v="Automated next generation analyzer"/>
    <x v="2"/>
    <s v="Lead Generation"/>
    <s v="UK"/>
    <d v="2024-04-17T00:00:00"/>
    <d v="2024-05-08T00:00:00"/>
    <n v="175112"/>
    <n v="5463"/>
    <n v="286"/>
    <n v="14060.7"/>
    <n v="75720.34"/>
    <n v="3.12"/>
    <n v="5.25"/>
    <n v="2.57"/>
    <n v="49.16"/>
    <n v="5.39"/>
    <n v="438.52"/>
  </r>
  <r>
    <s v="CMP0658"/>
    <s v="Function-based eco-centric forecast"/>
    <x v="4"/>
    <s v="Conversion"/>
    <s v="UK"/>
    <d v="2024-09-05T00:00:00"/>
    <d v="2024-10-14T00:00:00"/>
    <n v="314013"/>
    <n v="9326"/>
    <n v="230"/>
    <n v="3292.11"/>
    <n v="11698.58"/>
    <n v="2.97"/>
    <n v="2.4700000000000002"/>
    <n v="0.35"/>
    <n v="14.31"/>
    <n v="3.55"/>
    <n v="255.35"/>
  </r>
  <r>
    <s v="CMP0659"/>
    <s v="Digitized web-enabled interface"/>
    <x v="3"/>
    <s v="Awareness"/>
    <s v="Canada"/>
    <d v="2024-07-07T00:00:00"/>
    <d v="2024-07-18T00:00:00"/>
    <n v="422152"/>
    <n v="30352"/>
    <n v="4932"/>
    <n v="4547.53"/>
    <n v="18344.29"/>
    <n v="7.19"/>
    <n v="16.25"/>
    <n v="0.15"/>
    <n v="0.92"/>
    <n v="4.03"/>
    <n v="303.39"/>
  </r>
  <r>
    <s v="CMP0660"/>
    <s v="Centralized tertiary groupware"/>
    <x v="2"/>
    <s v="Retention"/>
    <s v="India"/>
    <d v="2024-03-25T00:00:00"/>
    <d v="2024-04-18T00:00:00"/>
    <n v="92032"/>
    <n v="2457"/>
    <n v="71"/>
    <n v="17373.849999999999"/>
    <n v="40763.620000000003"/>
    <n v="2.67"/>
    <n v="2.89"/>
    <n v="7.07"/>
    <n v="244.7"/>
    <n v="2.35"/>
    <n v="134.63"/>
  </r>
  <r>
    <s v="CMP0661"/>
    <s v="Monitored tangible strategy"/>
    <x v="0"/>
    <s v="Lead Generation"/>
    <s v="Canada"/>
    <d v="2024-10-04T00:00:00"/>
    <d v="2024-10-19T00:00:00"/>
    <n v="128904"/>
    <n v="7734"/>
    <n v="550"/>
    <n v="17545.52"/>
    <n v="58238.19"/>
    <n v="6"/>
    <n v="7.12"/>
    <n v="2.27"/>
    <n v="31.9"/>
    <n v="3.32"/>
    <n v="231.93"/>
  </r>
  <r>
    <s v="CMP0662"/>
    <s v="Multi-lateral uniform emulation"/>
    <x v="1"/>
    <s v="Conversion"/>
    <s v="Canada"/>
    <d v="2024-04-28T00:00:00"/>
    <d v="2024-06-07T00:00:00"/>
    <n v="282710"/>
    <n v="5795"/>
    <n v="298"/>
    <n v="7024.97"/>
    <n v="14746.57"/>
    <n v="2.0499999999999998"/>
    <n v="5.15"/>
    <n v="1.21"/>
    <n v="23.57"/>
    <n v="2.1"/>
    <n v="109.92"/>
  </r>
  <r>
    <s v="CMP0663"/>
    <s v="Organized 24/7 customer loyalty"/>
    <x v="4"/>
    <s v="Retention"/>
    <s v="Australia"/>
    <d v="2024-09-28T00:00:00"/>
    <d v="2024-11-09T00:00:00"/>
    <n v="229721"/>
    <n v="6661"/>
    <n v="283"/>
    <n v="8576.85"/>
    <n v="42852.94"/>
    <n v="2.9"/>
    <n v="4.25"/>
    <n v="1.29"/>
    <n v="30.31"/>
    <n v="5"/>
    <n v="399.63"/>
  </r>
  <r>
    <s v="CMP0664"/>
    <s v="Extended interactive artificial intelligence"/>
    <x v="1"/>
    <s v="Retention"/>
    <s v="UK"/>
    <d v="2024-09-04T00:00:00"/>
    <d v="2024-10-04T00:00:00"/>
    <n v="347403"/>
    <n v="3543"/>
    <n v="373"/>
    <n v="6747.79"/>
    <n v="21390.720000000001"/>
    <n v="1.02"/>
    <n v="10.53"/>
    <n v="1.9"/>
    <n v="18.09"/>
    <n v="3.17"/>
    <n v="217"/>
  </r>
  <r>
    <s v="CMP0665"/>
    <s v="Adaptive discrete implementation"/>
    <x v="4"/>
    <s v="Awareness"/>
    <s v="USA"/>
    <d v="2024-10-01T00:00:00"/>
    <d v="2024-10-26T00:00:00"/>
    <n v="235137"/>
    <n v="4561"/>
    <n v="221"/>
    <n v="10232.879999999999"/>
    <n v="27869.81"/>
    <n v="1.94"/>
    <n v="4.8499999999999996"/>
    <n v="2.2400000000000002"/>
    <n v="46.3"/>
    <n v="2.72"/>
    <n v="172.36"/>
  </r>
  <r>
    <s v="CMP0666"/>
    <s v="Seamless leadingedge structure"/>
    <x v="2"/>
    <s v="Lead Generation"/>
    <s v="USA"/>
    <d v="2024-05-13T00:00:00"/>
    <d v="2024-06-12T00:00:00"/>
    <n v="134543"/>
    <n v="2973"/>
    <n v="65"/>
    <n v="7749.39"/>
    <n v="19909.2"/>
    <n v="2.21"/>
    <n v="2.21"/>
    <n v="2.61"/>
    <n v="119.22"/>
    <n v="2.57"/>
    <n v="156.91"/>
  </r>
  <r>
    <s v="CMP0667"/>
    <s v="Pre-emptive fault-tolerant array"/>
    <x v="2"/>
    <s v="Lead Generation"/>
    <s v="Australia"/>
    <d v="2024-10-03T00:00:00"/>
    <d v="2024-10-20T00:00:00"/>
    <n v="420742"/>
    <n v="6731"/>
    <n v="240"/>
    <n v="8157.71"/>
    <n v="30005.01"/>
    <n v="1.6"/>
    <n v="3.58"/>
    <n v="1.21"/>
    <n v="33.99"/>
    <n v="3.68"/>
    <n v="267.81"/>
  </r>
  <r>
    <s v="CMP0668"/>
    <s v="Innovative static success"/>
    <x v="3"/>
    <s v="Conversion"/>
    <s v="India"/>
    <d v="2024-06-12T00:00:00"/>
    <d v="2024-06-28T00:00:00"/>
    <n v="63067"/>
    <n v="4055"/>
    <n v="526"/>
    <n v="1154.23"/>
    <n v="4687.54"/>
    <n v="6.43"/>
    <n v="12.99"/>
    <n v="0.28000000000000003"/>
    <n v="2.19"/>
    <n v="4.0599999999999996"/>
    <n v="306.12"/>
  </r>
  <r>
    <s v="CMP0669"/>
    <s v="Future-proofed solution-oriented concept"/>
    <x v="0"/>
    <s v="Conversion"/>
    <s v="UK"/>
    <d v="2024-03-16T00:00:00"/>
    <d v="2024-04-28T00:00:00"/>
    <n v="298465"/>
    <n v="18146"/>
    <n v="1781"/>
    <n v="20083.23"/>
    <n v="130004.69"/>
    <n v="6.08"/>
    <n v="9.82"/>
    <n v="1.1100000000000001"/>
    <n v="11.28"/>
    <n v="6.47"/>
    <n v="547.33000000000004"/>
  </r>
  <r>
    <s v="CMP0670"/>
    <s v="Re-contextualized even-keeled installation"/>
    <x v="1"/>
    <s v="Conversion"/>
    <s v="India"/>
    <d v="2024-01-13T00:00:00"/>
    <d v="2024-02-14T00:00:00"/>
    <n v="433590"/>
    <n v="6980"/>
    <n v="368"/>
    <n v="14848.13"/>
    <n v="37505.519999999997"/>
    <n v="1.61"/>
    <n v="5.28"/>
    <n v="2.13"/>
    <n v="40.35"/>
    <n v="2.5299999999999998"/>
    <n v="152.59"/>
  </r>
  <r>
    <s v="CMP0671"/>
    <s v="Automated transitional initiative"/>
    <x v="3"/>
    <s v="Lead Generation"/>
    <s v="Canada"/>
    <d v="2024-04-23T00:00:00"/>
    <d v="2024-05-17T00:00:00"/>
    <n v="237377"/>
    <n v="10800"/>
    <n v="923"/>
    <n v="3385.91"/>
    <n v="15661.33"/>
    <n v="4.55"/>
    <n v="8.5500000000000007"/>
    <n v="0.31"/>
    <n v="3.67"/>
    <n v="4.63"/>
    <n v="362.54"/>
  </r>
  <r>
    <s v="CMP0672"/>
    <s v="Monitored disintermediate protocol"/>
    <x v="2"/>
    <s v="Awareness"/>
    <s v="India"/>
    <d v="2024-07-20T00:00:00"/>
    <d v="2024-08-08T00:00:00"/>
    <n v="332283"/>
    <n v="13457"/>
    <n v="725"/>
    <n v="17364.36"/>
    <n v="110980.45"/>
    <n v="4.05"/>
    <n v="5.39"/>
    <n v="1.29"/>
    <n v="23.95"/>
    <n v="6.39"/>
    <n v="539.13"/>
  </r>
  <r>
    <s v="CMP0673"/>
    <s v="Switchable client-server product"/>
    <x v="1"/>
    <s v="Conversion"/>
    <s v="Australia"/>
    <d v="2024-08-06T00:00:00"/>
    <d v="2024-09-05T00:00:00"/>
    <n v="367235"/>
    <n v="6132"/>
    <n v="330"/>
    <n v="14668.26"/>
    <n v="55578.2"/>
    <n v="1.67"/>
    <n v="5.39"/>
    <n v="2.39"/>
    <n v="44.45"/>
    <n v="3.79"/>
    <n v="278.89999999999998"/>
  </r>
  <r>
    <s v="CMP0674"/>
    <s v="Open-architected didactic forecast"/>
    <x v="1"/>
    <s v="Conversion"/>
    <s v="India"/>
    <d v="2024-04-20T00:00:00"/>
    <d v="2024-05-25T00:00:00"/>
    <n v="199238"/>
    <n v="2769"/>
    <n v="198"/>
    <n v="11129.22"/>
    <n v="50355.81"/>
    <n v="1.39"/>
    <n v="7.16"/>
    <n v="4.0199999999999996"/>
    <n v="56.21"/>
    <n v="4.5199999999999996"/>
    <n v="352.46"/>
  </r>
  <r>
    <s v="CMP0675"/>
    <s v="Multi-tiered homogeneous hierarchy"/>
    <x v="1"/>
    <s v="Retention"/>
    <s v="UK"/>
    <d v="2024-03-12T00:00:00"/>
    <d v="2024-04-25T00:00:00"/>
    <n v="135873"/>
    <n v="2948"/>
    <n v="347"/>
    <n v="10781.32"/>
    <n v="65053.73"/>
    <n v="2.17"/>
    <n v="11.79"/>
    <n v="3.66"/>
    <n v="31.07"/>
    <n v="6.03"/>
    <n v="503.39"/>
  </r>
  <r>
    <s v="CMP0676"/>
    <s v="Self-enabling needs-based focus group"/>
    <x v="3"/>
    <s v="Awareness"/>
    <s v="USA"/>
    <d v="2024-10-29T00:00:00"/>
    <d v="2024-11-29T00:00:00"/>
    <n v="158938"/>
    <n v="9250"/>
    <n v="1653"/>
    <n v="2863.85"/>
    <n v="10050.32"/>
    <n v="5.82"/>
    <n v="17.88"/>
    <n v="0.31"/>
    <n v="1.73"/>
    <n v="3.51"/>
    <n v="250.94"/>
  </r>
  <r>
    <s v="CMP0677"/>
    <s v="Centralized value-added collaboration"/>
    <x v="0"/>
    <s v="Awareness"/>
    <s v="Canada"/>
    <d v="2024-03-11T00:00:00"/>
    <d v="2024-03-30T00:00:00"/>
    <n v="384918"/>
    <n v="23710"/>
    <n v="1538"/>
    <n v="16116.28"/>
    <n v="83741.990000000005"/>
    <n v="6.16"/>
    <n v="6.49"/>
    <n v="0.68"/>
    <n v="10.48"/>
    <n v="5.2"/>
    <n v="419.61"/>
  </r>
  <r>
    <s v="CMP0678"/>
    <s v="Devolved explicit strategy"/>
    <x v="2"/>
    <s v="Retention"/>
    <s v="UK"/>
    <d v="2024-09-09T00:00:00"/>
    <d v="2024-10-21T00:00:00"/>
    <n v="340385"/>
    <n v="10109"/>
    <n v="617"/>
    <n v="7529.89"/>
    <n v="34889.269999999997"/>
    <n v="2.97"/>
    <n v="6.11"/>
    <n v="0.74"/>
    <n v="12.2"/>
    <n v="4.63"/>
    <n v="363.34"/>
  </r>
  <r>
    <s v="CMP0679"/>
    <s v="Re-engineered needs-based flexibility"/>
    <x v="1"/>
    <s v="Lead Generation"/>
    <s v="India"/>
    <d v="2024-08-29T00:00:00"/>
    <d v="2024-09-12T00:00:00"/>
    <n v="464826"/>
    <n v="3718"/>
    <n v="254"/>
    <n v="19296.43"/>
    <n v="111033.47"/>
    <n v="0.8"/>
    <n v="6.84"/>
    <n v="5.19"/>
    <n v="75.97"/>
    <n v="5.75"/>
    <n v="475.41"/>
  </r>
  <r>
    <s v="CMP0680"/>
    <s v="Innovative eco-centric neural-net"/>
    <x v="4"/>
    <s v="Retention"/>
    <s v="USA"/>
    <d v="2024-09-09T00:00:00"/>
    <d v="2024-09-20T00:00:00"/>
    <n v="307890"/>
    <n v="10960"/>
    <n v="412"/>
    <n v="2855.53"/>
    <n v="15537.6"/>
    <n v="3.56"/>
    <n v="3.76"/>
    <n v="0.26"/>
    <n v="6.93"/>
    <n v="5.44"/>
    <n v="444.12"/>
  </r>
  <r>
    <s v="CMP0681"/>
    <s v="Self-enabling national hardware"/>
    <x v="3"/>
    <s v="Conversion"/>
    <s v="Australia"/>
    <d v="2024-03-02T00:00:00"/>
    <d v="2024-04-01T00:00:00"/>
    <n v="301912"/>
    <n v="22311"/>
    <n v="3721"/>
    <n v="3325.98"/>
    <n v="13776.82"/>
    <n v="7.39"/>
    <n v="16.68"/>
    <n v="0.15"/>
    <n v="0.89"/>
    <n v="4.1399999999999997"/>
    <n v="314.22000000000003"/>
  </r>
  <r>
    <s v="CMP0682"/>
    <s v="Realigned responsive customer loyalty"/>
    <x v="3"/>
    <s v="Awareness"/>
    <s v="UK"/>
    <d v="2024-07-01T00:00:00"/>
    <d v="2024-07-18T00:00:00"/>
    <n v="135378"/>
    <n v="10139"/>
    <n v="959"/>
    <n v="2574.6999999999998"/>
    <n v="13181.88"/>
    <n v="7.49"/>
    <n v="9.4600000000000009"/>
    <n v="0.25"/>
    <n v="2.68"/>
    <n v="5.12"/>
    <n v="411.98"/>
  </r>
  <r>
    <s v="CMP0683"/>
    <s v="Switchable regional utilization"/>
    <x v="0"/>
    <s v="Conversion"/>
    <s v="UK"/>
    <d v="2024-11-23T00:00:00"/>
    <d v="2024-12-04T00:00:00"/>
    <n v="269946"/>
    <n v="13605"/>
    <n v="1323"/>
    <n v="5974.3"/>
    <n v="19789.8"/>
    <n v="5.04"/>
    <n v="9.73"/>
    <n v="0.44"/>
    <n v="4.5199999999999996"/>
    <n v="3.31"/>
    <n v="231.25"/>
  </r>
  <r>
    <s v="CMP0684"/>
    <s v="Team-oriented bottom-line approach"/>
    <x v="3"/>
    <s v="Lead Generation"/>
    <s v="USA"/>
    <d v="2024-06-03T00:00:00"/>
    <d v="2024-06-27T00:00:00"/>
    <n v="450917"/>
    <n v="20606"/>
    <n v="3200"/>
    <n v="2946.71"/>
    <n v="17462.189999999999"/>
    <n v="4.57"/>
    <n v="15.53"/>
    <n v="0.14000000000000001"/>
    <n v="0.92"/>
    <n v="5.93"/>
    <n v="492.6"/>
  </r>
  <r>
    <s v="CMP0685"/>
    <s v="Switchable well-modulated access"/>
    <x v="4"/>
    <s v="Awareness"/>
    <s v="Australia"/>
    <d v="2024-09-05T00:00:00"/>
    <d v="2024-10-08T00:00:00"/>
    <n v="354111"/>
    <n v="7471"/>
    <n v="149"/>
    <n v="4211.87"/>
    <n v="13757.57"/>
    <n v="2.11"/>
    <n v="2"/>
    <n v="0.56000000000000005"/>
    <n v="28.27"/>
    <n v="3.27"/>
    <n v="226.64"/>
  </r>
  <r>
    <s v="CMP0686"/>
    <s v="Stand-alone cohesive flexibility"/>
    <x v="4"/>
    <s v="Lead Generation"/>
    <s v="India"/>
    <d v="2024-11-10T00:00:00"/>
    <d v="2024-12-20T00:00:00"/>
    <n v="164229"/>
    <n v="2627"/>
    <n v="59"/>
    <n v="4855.21"/>
    <n v="29309.71"/>
    <n v="1.6"/>
    <n v="2.27"/>
    <n v="1.85"/>
    <n v="82.29"/>
    <n v="6.04"/>
    <n v="503.68"/>
  </r>
  <r>
    <s v="CMP0687"/>
    <s v="Devolved asynchronous pricing structure"/>
    <x v="3"/>
    <s v="Awareness"/>
    <s v="Canada"/>
    <d v="2024-06-27T00:00:00"/>
    <d v="2024-07-23T00:00:00"/>
    <n v="291430"/>
    <n v="27685"/>
    <n v="2538"/>
    <n v="1090.54"/>
    <n v="2266.37"/>
    <n v="9.5"/>
    <n v="9.17"/>
    <n v="0.04"/>
    <n v="0.43"/>
    <n v="2.08"/>
    <n v="107.82"/>
  </r>
  <r>
    <s v="CMP0688"/>
    <s v="Implemented homogeneous approach"/>
    <x v="4"/>
    <s v="Lead Generation"/>
    <s v="Canada"/>
    <d v="2024-03-01T00:00:00"/>
    <d v="2024-03-22T00:00:00"/>
    <n v="363340"/>
    <n v="9301"/>
    <n v="455"/>
    <n v="4652.59"/>
    <n v="15684.25"/>
    <n v="2.56"/>
    <n v="4.9000000000000004"/>
    <n v="0.5"/>
    <n v="10.23"/>
    <n v="3.37"/>
    <n v="237.11"/>
  </r>
  <r>
    <s v="CMP0689"/>
    <s v="Self-enabling leadingedge functionalities"/>
    <x v="2"/>
    <s v="Lead Generation"/>
    <s v="USA"/>
    <d v="2024-02-27T00:00:00"/>
    <d v="2024-03-09T00:00:00"/>
    <n v="211180"/>
    <n v="3970"/>
    <n v="105"/>
    <n v="4179.07"/>
    <n v="21349.54"/>
    <n v="1.88"/>
    <n v="2.65"/>
    <n v="1.05"/>
    <n v="39.799999999999997"/>
    <n v="5.1100000000000003"/>
    <n v="410.87"/>
  </r>
  <r>
    <s v="CMP0690"/>
    <s v="Triple-buffered incremental installation"/>
    <x v="0"/>
    <s v="Retention"/>
    <s v="Canada"/>
    <d v="2024-08-28T00:00:00"/>
    <d v="2024-09-11T00:00:00"/>
    <n v="72291"/>
    <n v="2378"/>
    <n v="99"/>
    <n v="18195.78"/>
    <n v="84961.42"/>
    <n v="3.29"/>
    <n v="4.2"/>
    <n v="7.65"/>
    <n v="183.8"/>
    <n v="4.67"/>
    <n v="366.93"/>
  </r>
  <r>
    <s v="CMP0691"/>
    <s v="Organic value-added artificial intelligence"/>
    <x v="4"/>
    <s v="Awareness"/>
    <s v="India"/>
    <d v="2024-04-15T00:00:00"/>
    <d v="2024-05-29T00:00:00"/>
    <n v="208149"/>
    <n v="6119"/>
    <n v="253"/>
    <n v="12279.64"/>
    <n v="75402.41"/>
    <n v="2.94"/>
    <n v="4.1399999999999997"/>
    <n v="2.0099999999999998"/>
    <n v="48.54"/>
    <n v="6.14"/>
    <n v="514.04"/>
  </r>
  <r>
    <s v="CMP0692"/>
    <s v="Distributed zero tolerance support"/>
    <x v="2"/>
    <s v="Lead Generation"/>
    <s v="UK"/>
    <d v="2024-06-27T00:00:00"/>
    <d v="2024-07-26T00:00:00"/>
    <n v="65340"/>
    <n v="1156"/>
    <n v="72"/>
    <n v="17127.669999999998"/>
    <n v="107382.99"/>
    <n v="1.77"/>
    <n v="6.23"/>
    <n v="14.82"/>
    <n v="237.88"/>
    <n v="6.27"/>
    <n v="526.96"/>
  </r>
  <r>
    <s v="CMP0693"/>
    <s v="Inverse mobile benchmark"/>
    <x v="2"/>
    <s v="Lead Generation"/>
    <s v="Australia"/>
    <d v="2024-04-08T00:00:00"/>
    <d v="2024-05-03T00:00:00"/>
    <n v="348967"/>
    <n v="5967"/>
    <n v="363"/>
    <n v="14448.66"/>
    <n v="63281.87"/>
    <n v="1.71"/>
    <n v="6.1"/>
    <n v="2.42"/>
    <n v="39.799999999999997"/>
    <n v="4.38"/>
    <n v="337.98"/>
  </r>
  <r>
    <s v="CMP0694"/>
    <s v="Grass-roots multi-tasking software"/>
    <x v="2"/>
    <s v="Awareness"/>
    <s v="India"/>
    <d v="2024-04-04T00:00:00"/>
    <d v="2024-05-09T00:00:00"/>
    <n v="162205"/>
    <n v="6909"/>
    <n v="432"/>
    <n v="10120.73"/>
    <n v="52036.73"/>
    <n v="4.26"/>
    <n v="6.26"/>
    <n v="1.46"/>
    <n v="23.43"/>
    <n v="5.14"/>
    <n v="414.16"/>
  </r>
  <r>
    <s v="CMP0695"/>
    <s v="Innovative dedicated superstructure"/>
    <x v="0"/>
    <s v="Lead Generation"/>
    <s v="UK"/>
    <d v="2024-06-09T00:00:00"/>
    <d v="2024-06-23T00:00:00"/>
    <n v="249027"/>
    <n v="10459"/>
    <n v="741"/>
    <n v="13151.56"/>
    <n v="71364.87"/>
    <n v="4.2"/>
    <n v="7.09"/>
    <n v="1.26"/>
    <n v="17.75"/>
    <n v="5.43"/>
    <n v="442.63"/>
  </r>
  <r>
    <s v="CMP0696"/>
    <s v="Fully-configurable systemic contingency"/>
    <x v="1"/>
    <s v="Awareness"/>
    <s v="Australia"/>
    <d v="2024-02-12T00:00:00"/>
    <d v="2024-03-10T00:00:00"/>
    <n v="121257"/>
    <n v="1988"/>
    <n v="149"/>
    <n v="8612.34"/>
    <n v="45211.47"/>
    <n v="1.64"/>
    <n v="7.53"/>
    <n v="4.33"/>
    <n v="57.8"/>
    <n v="5.25"/>
    <n v="424.96"/>
  </r>
  <r>
    <s v="CMP0697"/>
    <s v="Object-based upward-trending challenge"/>
    <x v="1"/>
    <s v="Awareness"/>
    <s v="Canada"/>
    <d v="2024-04-25T00:00:00"/>
    <d v="2024-06-06T00:00:00"/>
    <n v="198694"/>
    <n v="3139"/>
    <n v="318"/>
    <n v="14992.74"/>
    <n v="86731.59"/>
    <n v="1.58"/>
    <n v="10.15"/>
    <n v="4.78"/>
    <n v="47.15"/>
    <n v="5.78"/>
    <n v="478.49"/>
  </r>
  <r>
    <s v="CMP0698"/>
    <s v="Pre-emptive 6thgeneration artificial intelligence"/>
    <x v="1"/>
    <s v="Conversion"/>
    <s v="Canada"/>
    <d v="2024-07-07T00:00:00"/>
    <d v="2024-07-25T00:00:00"/>
    <n v="148977"/>
    <n v="3366"/>
    <n v="379"/>
    <n v="16838.98"/>
    <n v="104837.28"/>
    <n v="2.2599999999999998"/>
    <n v="11.26"/>
    <n v="5"/>
    <n v="44.43"/>
    <n v="6.23"/>
    <n v="522.59"/>
  </r>
  <r>
    <s v="CMP0699"/>
    <s v="Organized logistical extranet"/>
    <x v="0"/>
    <s v="Retention"/>
    <s v="India"/>
    <d v="2024-07-24T00:00:00"/>
    <d v="2024-09-06T00:00:00"/>
    <n v="257811"/>
    <n v="10956"/>
    <n v="871"/>
    <n v="6700.12"/>
    <n v="17722.849999999999"/>
    <n v="4.25"/>
    <n v="7.95"/>
    <n v="0.61"/>
    <n v="7.69"/>
    <n v="2.65"/>
    <n v="164.52"/>
  </r>
  <r>
    <s v="CMP0700"/>
    <s v="Optimized heuristic software"/>
    <x v="0"/>
    <s v="Lead Generation"/>
    <s v="India"/>
    <d v="2024-03-03T00:00:00"/>
    <d v="2024-03-24T00:00:00"/>
    <n v="240688"/>
    <n v="15404"/>
    <n v="928"/>
    <n v="16899.22"/>
    <n v="109134.76"/>
    <n v="6.4"/>
    <n v="6.03"/>
    <n v="1.1000000000000001"/>
    <n v="18.21"/>
    <n v="6.46"/>
    <n v="545.79999999999995"/>
  </r>
  <r>
    <s v="CMP0701"/>
    <s v="Quality-focused non-volatile firmware"/>
    <x v="1"/>
    <s v="Retention"/>
    <s v="UK"/>
    <d v="2024-11-25T00:00:00"/>
    <d v="2024-12-27T00:00:00"/>
    <n v="450984"/>
    <n v="9064"/>
    <n v="822"/>
    <n v="8367.56"/>
    <n v="46462.7"/>
    <n v="2.0099999999999998"/>
    <n v="9.07"/>
    <n v="0.92"/>
    <n v="10.18"/>
    <n v="5.55"/>
    <n v="455.27"/>
  </r>
  <r>
    <s v="CMP0702"/>
    <s v="Extended bottom-line policy"/>
    <x v="4"/>
    <s v="Retention"/>
    <s v="Australia"/>
    <d v="2024-03-03T00:00:00"/>
    <d v="2024-03-26T00:00:00"/>
    <n v="262044"/>
    <n v="9879"/>
    <n v="325"/>
    <n v="4342.18"/>
    <n v="17567.84"/>
    <n v="3.77"/>
    <n v="3.29"/>
    <n v="0.44"/>
    <n v="13.36"/>
    <n v="4.05"/>
    <n v="304.58999999999997"/>
  </r>
  <r>
    <s v="CMP0703"/>
    <s v="Vision-oriented radical success"/>
    <x v="1"/>
    <s v="Retention"/>
    <s v="USA"/>
    <d v="2024-09-12T00:00:00"/>
    <d v="2024-09-20T00:00:00"/>
    <n v="379447"/>
    <n v="9106"/>
    <n v="474"/>
    <n v="15804.77"/>
    <n v="90662.58"/>
    <n v="2.4"/>
    <n v="5.21"/>
    <n v="1.74"/>
    <n v="33.340000000000003"/>
    <n v="5.74"/>
    <n v="473.64"/>
  </r>
  <r>
    <s v="CMP0704"/>
    <s v="Exclusive foreground architecture"/>
    <x v="2"/>
    <s v="Retention"/>
    <s v="Australia"/>
    <d v="2024-09-23T00:00:00"/>
    <d v="2024-10-31T00:00:00"/>
    <n v="406098"/>
    <n v="10071"/>
    <n v="353"/>
    <n v="12348.49"/>
    <n v="66938.34"/>
    <n v="2.48"/>
    <n v="3.51"/>
    <n v="1.23"/>
    <n v="34.979999999999997"/>
    <n v="5.42"/>
    <n v="442.08"/>
  </r>
  <r>
    <s v="CMP0705"/>
    <s v="Devolved incremental archive"/>
    <x v="1"/>
    <s v="Lead Generation"/>
    <s v="UK"/>
    <d v="2024-10-03T00:00:00"/>
    <d v="2024-11-13T00:00:00"/>
    <n v="397127"/>
    <n v="6552"/>
    <n v="558"/>
    <n v="12679.01"/>
    <n v="71543.429999999993"/>
    <n v="1.65"/>
    <n v="8.5299999999999994"/>
    <n v="1.94"/>
    <n v="22.72"/>
    <n v="5.64"/>
    <n v="464.27"/>
  </r>
  <r>
    <s v="CMP0706"/>
    <s v="Cross-group discrete toolset"/>
    <x v="0"/>
    <s v="Awareness"/>
    <s v="Canada"/>
    <d v="2024-01-17T00:00:00"/>
    <d v="2024-02-04T00:00:00"/>
    <n v="112460"/>
    <n v="4532"/>
    <n v="266"/>
    <n v="12526.73"/>
    <n v="50964.41"/>
    <n v="4.03"/>
    <n v="5.89"/>
    <n v="2.76"/>
    <n v="47.09"/>
    <n v="4.07"/>
    <n v="306.85000000000002"/>
  </r>
  <r>
    <s v="CMP0707"/>
    <s v="Networked transitional Local Area Network"/>
    <x v="3"/>
    <s v="Conversion"/>
    <s v="USA"/>
    <d v="2024-10-18T00:00:00"/>
    <d v="2024-11-25T00:00:00"/>
    <n v="307676"/>
    <n v="20245"/>
    <n v="2251"/>
    <n v="2250.86"/>
    <n v="12240.29"/>
    <n v="6.58"/>
    <n v="11.12"/>
    <n v="0.11"/>
    <n v="1"/>
    <n v="5.44"/>
    <n v="443.81"/>
  </r>
  <r>
    <s v="CMP0708"/>
    <s v="Multi-lateral asynchronous capability"/>
    <x v="3"/>
    <s v="Retention"/>
    <s v="Canada"/>
    <d v="2024-07-12T00:00:00"/>
    <d v="2024-08-10T00:00:00"/>
    <n v="344783"/>
    <n v="31478"/>
    <n v="4114"/>
    <n v="2261.23"/>
    <n v="9556.2099999999991"/>
    <n v="9.1300000000000008"/>
    <n v="13.07"/>
    <n v="7.0000000000000007E-2"/>
    <n v="0.55000000000000004"/>
    <n v="4.2300000000000004"/>
    <n v="322.61"/>
  </r>
  <r>
    <s v="CMP0709"/>
    <s v="Profound empowering infrastructure"/>
    <x v="4"/>
    <s v="Conversion"/>
    <s v="India"/>
    <d v="2024-10-25T00:00:00"/>
    <d v="2024-11-02T00:00:00"/>
    <n v="64757"/>
    <n v="1774"/>
    <n v="34"/>
    <n v="7080.13"/>
    <n v="39953.11"/>
    <n v="2.74"/>
    <n v="1.95"/>
    <n v="3.99"/>
    <n v="208.24"/>
    <n v="5.64"/>
    <n v="464.3"/>
  </r>
  <r>
    <s v="CMP0710"/>
    <s v="Streamlined context-sensitive pricing structure"/>
    <x v="4"/>
    <s v="Retention"/>
    <s v="India"/>
    <d v="2024-05-06T00:00:00"/>
    <d v="2024-05-28T00:00:00"/>
    <n v="274472"/>
    <n v="5763"/>
    <n v="158"/>
    <n v="6890.87"/>
    <n v="34286.080000000002"/>
    <n v="2.1"/>
    <n v="2.75"/>
    <n v="1.2"/>
    <n v="43.61"/>
    <n v="4.9800000000000004"/>
    <n v="397.56"/>
  </r>
  <r>
    <s v="CMP0711"/>
    <s v="Multi-lateral mobile time-frame"/>
    <x v="4"/>
    <s v="Awareness"/>
    <s v="India"/>
    <d v="2024-08-04T00:00:00"/>
    <d v="2024-09-16T00:00:00"/>
    <n v="209861"/>
    <n v="3147"/>
    <n v="65"/>
    <n v="9230.2099999999991"/>
    <n v="20012.93"/>
    <n v="1.5"/>
    <n v="2.09"/>
    <n v="2.93"/>
    <n v="142"/>
    <n v="2.17"/>
    <n v="116.82"/>
  </r>
  <r>
    <s v="CMP0712"/>
    <s v="Up-sized leadingedge implementation"/>
    <x v="3"/>
    <s v="Retention"/>
    <s v="UK"/>
    <d v="2024-07-18T00:00:00"/>
    <d v="2024-08-14T00:00:00"/>
    <n v="60696"/>
    <n v="4964"/>
    <n v="689"/>
    <n v="4935.9399999999996"/>
    <n v="18262.09"/>
    <n v="8.18"/>
    <n v="13.88"/>
    <n v="0.99"/>
    <n v="7.16"/>
    <n v="3.7"/>
    <n v="269.98"/>
  </r>
  <r>
    <s v="CMP0713"/>
    <s v="Diverse mobile matrix"/>
    <x v="3"/>
    <s v="Awareness"/>
    <s v="Canada"/>
    <d v="2024-06-22T00:00:00"/>
    <d v="2024-07-09T00:00:00"/>
    <n v="102458"/>
    <n v="8350"/>
    <n v="840"/>
    <n v="2735.29"/>
    <n v="15458.65"/>
    <n v="8.15"/>
    <n v="10.06"/>
    <n v="0.33"/>
    <n v="3.26"/>
    <n v="5.65"/>
    <n v="465.16"/>
  </r>
  <r>
    <s v="CMP0714"/>
    <s v="Robust bottom-line approach"/>
    <x v="3"/>
    <s v="Conversion"/>
    <s v="UK"/>
    <d v="2024-10-01T00:00:00"/>
    <d v="2024-10-21T00:00:00"/>
    <n v="278584"/>
    <n v="14514"/>
    <n v="2082"/>
    <n v="4883.4799999999996"/>
    <n v="11422.19"/>
    <n v="5.21"/>
    <n v="14.35"/>
    <n v="0.34"/>
    <n v="2.35"/>
    <n v="2.34"/>
    <n v="133.88999999999999"/>
  </r>
  <r>
    <s v="CMP0715"/>
    <s v="De-engineered tertiary infrastructure"/>
    <x v="4"/>
    <s v="Conversion"/>
    <s v="India"/>
    <d v="2024-02-17T00:00:00"/>
    <d v="2024-04-01T00:00:00"/>
    <n v="205881"/>
    <n v="7802"/>
    <n v="227"/>
    <n v="5323.57"/>
    <n v="28443.81"/>
    <n v="3.79"/>
    <n v="2.91"/>
    <n v="0.68"/>
    <n v="23.45"/>
    <n v="5.34"/>
    <n v="434.3"/>
  </r>
  <r>
    <s v="CMP0716"/>
    <s v="Operative intangible solution"/>
    <x v="0"/>
    <s v="Conversion"/>
    <s v="UK"/>
    <d v="2024-02-09T00:00:00"/>
    <d v="2024-03-06T00:00:00"/>
    <n v="85268"/>
    <n v="4067"/>
    <n v="292"/>
    <n v="13542.12"/>
    <n v="48249.55"/>
    <n v="4.7699999999999996"/>
    <n v="7.19"/>
    <n v="3.33"/>
    <n v="46.38"/>
    <n v="3.56"/>
    <n v="256.29000000000002"/>
  </r>
  <r>
    <s v="CMP0717"/>
    <s v="Monitored full-range moderator"/>
    <x v="3"/>
    <s v="Conversion"/>
    <s v="Canada"/>
    <d v="2024-08-20T00:00:00"/>
    <d v="2024-10-01T00:00:00"/>
    <n v="397842"/>
    <n v="28803"/>
    <n v="2880"/>
    <n v="2310.35"/>
    <n v="11118.18"/>
    <n v="7.24"/>
    <n v="10"/>
    <n v="0.08"/>
    <n v="0.8"/>
    <n v="4.8099999999999996"/>
    <n v="381.23"/>
  </r>
  <r>
    <s v="CMP0718"/>
    <s v="Organized incremental customer loyalty"/>
    <x v="2"/>
    <s v="Awareness"/>
    <s v="Australia"/>
    <d v="2024-08-27T00:00:00"/>
    <d v="2024-09-20T00:00:00"/>
    <n v="147800"/>
    <n v="4773"/>
    <n v="146"/>
    <n v="17431.759999999998"/>
    <n v="93084.479999999996"/>
    <n v="3.23"/>
    <n v="3.06"/>
    <n v="3.65"/>
    <n v="119.4"/>
    <n v="5.34"/>
    <n v="433.99"/>
  </r>
  <r>
    <s v="CMP0719"/>
    <s v="Cross-group dynamic emulation"/>
    <x v="3"/>
    <s v="Retention"/>
    <s v="Australia"/>
    <d v="2024-03-18T00:00:00"/>
    <d v="2024-04-13T00:00:00"/>
    <n v="430955"/>
    <n v="33442"/>
    <n v="4421"/>
    <n v="2139.2399999999998"/>
    <n v="5700.75"/>
    <n v="7.76"/>
    <n v="13.22"/>
    <n v="0.06"/>
    <n v="0.48"/>
    <n v="2.66"/>
    <n v="166.48"/>
  </r>
  <r>
    <s v="CMP0720"/>
    <s v="Object-based 3rdgeneration solution"/>
    <x v="1"/>
    <s v="Retention"/>
    <s v="UK"/>
    <d v="2024-05-26T00:00:00"/>
    <d v="2024-06-12T00:00:00"/>
    <n v="485271"/>
    <n v="11403"/>
    <n v="1076"/>
    <n v="17535.47"/>
    <n v="56134.66"/>
    <n v="2.35"/>
    <n v="9.44"/>
    <n v="1.54"/>
    <n v="16.3"/>
    <n v="3.2"/>
    <n v="220.12"/>
  </r>
  <r>
    <s v="CMP0721"/>
    <s v="Quality-focused encompassing project"/>
    <x v="4"/>
    <s v="Lead Generation"/>
    <s v="Canada"/>
    <d v="2024-08-25T00:00:00"/>
    <d v="2024-10-02T00:00:00"/>
    <n v="175033"/>
    <n v="2625"/>
    <n v="56"/>
    <n v="5569.83"/>
    <n v="31873.52"/>
    <n v="1.5"/>
    <n v="2.17"/>
    <n v="2.12"/>
    <n v="99.46"/>
    <n v="5.72"/>
    <n v="472.25"/>
  </r>
  <r>
    <s v="CMP0722"/>
    <s v="Extended secondary algorithm"/>
    <x v="3"/>
    <s v="Retention"/>
    <s v="Canada"/>
    <d v="2024-05-22T00:00:00"/>
    <d v="2024-07-03T00:00:00"/>
    <n v="389173"/>
    <n v="36699"/>
    <n v="3677"/>
    <n v="1727.2"/>
    <n v="3680.9"/>
    <n v="9.43"/>
    <n v="10.02"/>
    <n v="0.05"/>
    <n v="0.47"/>
    <n v="2.13"/>
    <n v="113.11"/>
  </r>
  <r>
    <s v="CMP0723"/>
    <s v="Balanced cohesive website"/>
    <x v="2"/>
    <s v="Awareness"/>
    <s v="Canada"/>
    <d v="2024-02-02T00:00:00"/>
    <d v="2024-03-06T00:00:00"/>
    <n v="460115"/>
    <n v="7177"/>
    <n v="452"/>
    <n v="4258.9399999999996"/>
    <n v="20047.68"/>
    <n v="1.56"/>
    <n v="6.3"/>
    <n v="0.59"/>
    <n v="9.42"/>
    <n v="4.71"/>
    <n v="370.72"/>
  </r>
  <r>
    <s v="CMP0724"/>
    <s v="Re-contextualized responsive policy"/>
    <x v="4"/>
    <s v="Awareness"/>
    <s v="Canada"/>
    <d v="2024-03-02T00:00:00"/>
    <d v="2024-04-11T00:00:00"/>
    <n v="490302"/>
    <n v="15101"/>
    <n v="300"/>
    <n v="3899.15"/>
    <n v="20685.62"/>
    <n v="3.08"/>
    <n v="1.99"/>
    <n v="0.26"/>
    <n v="13"/>
    <n v="5.31"/>
    <n v="430.52"/>
  </r>
  <r>
    <s v="CMP0725"/>
    <s v="Reduced contextually-based application"/>
    <x v="3"/>
    <s v="Conversion"/>
    <s v="Canada"/>
    <d v="2024-10-26T00:00:00"/>
    <d v="2024-11-26T00:00:00"/>
    <n v="97316"/>
    <n v="5284"/>
    <n v="487"/>
    <n v="4130.09"/>
    <n v="14380.09"/>
    <n v="5.43"/>
    <n v="9.2200000000000006"/>
    <n v="0.78"/>
    <n v="8.48"/>
    <n v="3.48"/>
    <n v="248.18"/>
  </r>
  <r>
    <s v="CMP0726"/>
    <s v="Profit-focused context-sensitive installation"/>
    <x v="2"/>
    <s v="Retention"/>
    <s v="USA"/>
    <d v="2024-10-28T00:00:00"/>
    <d v="2024-11-07T00:00:00"/>
    <n v="125643"/>
    <n v="2286"/>
    <n v="70"/>
    <n v="7118.21"/>
    <n v="27317.48"/>
    <n v="1.82"/>
    <n v="3.07"/>
    <n v="3.11"/>
    <n v="101.69"/>
    <n v="3.84"/>
    <n v="283.77"/>
  </r>
  <r>
    <s v="CMP0727"/>
    <s v="Reactive 24hour paradigm"/>
    <x v="1"/>
    <s v="Conversion"/>
    <s v="India"/>
    <d v="2024-03-15T00:00:00"/>
    <d v="2024-04-14T00:00:00"/>
    <n v="215931"/>
    <n v="3735"/>
    <n v="310"/>
    <n v="7941.55"/>
    <n v="25808.46"/>
    <n v="1.73"/>
    <n v="8.32"/>
    <n v="2.13"/>
    <n v="25.62"/>
    <n v="3.25"/>
    <n v="224.98"/>
  </r>
  <r>
    <s v="CMP0728"/>
    <s v="Customizable upward-trending knowledge user"/>
    <x v="1"/>
    <s v="Conversion"/>
    <s v="UK"/>
    <d v="2024-01-28T00:00:00"/>
    <d v="2024-02-19T00:00:00"/>
    <n v="61048"/>
    <n v="1159"/>
    <n v="131"/>
    <n v="4556.95"/>
    <n v="24277.26"/>
    <n v="1.9"/>
    <n v="11.34"/>
    <n v="3.93"/>
    <n v="34.79"/>
    <n v="5.33"/>
    <n v="432.75"/>
  </r>
  <r>
    <s v="CMP0729"/>
    <s v="Synergistic 24/7 functionalities"/>
    <x v="4"/>
    <s v="Retention"/>
    <s v="UK"/>
    <d v="2024-05-01T00:00:00"/>
    <d v="2024-06-05T00:00:00"/>
    <n v="384993"/>
    <n v="14206"/>
    <n v="393"/>
    <n v="12653.13"/>
    <n v="32255.89"/>
    <n v="3.69"/>
    <n v="2.77"/>
    <n v="0.89"/>
    <n v="32.200000000000003"/>
    <n v="2.5499999999999998"/>
    <n v="154.91999999999999"/>
  </r>
  <r>
    <s v="CMP0730"/>
    <s v="Universal global monitoring"/>
    <x v="1"/>
    <s v="Awareness"/>
    <s v="Canada"/>
    <d v="2024-03-23T00:00:00"/>
    <d v="2024-04-27T00:00:00"/>
    <n v="183973"/>
    <n v="2410"/>
    <n v="278"/>
    <n v="16106.69"/>
    <n v="53770.62"/>
    <n v="1.31"/>
    <n v="11.55"/>
    <n v="6.68"/>
    <n v="57.94"/>
    <n v="3.34"/>
    <n v="233.84"/>
  </r>
  <r>
    <s v="CMP0731"/>
    <s v="Expanded scalable parallelism"/>
    <x v="4"/>
    <s v="Retention"/>
    <s v="India"/>
    <d v="2024-07-30T00:00:00"/>
    <d v="2024-08-27T00:00:00"/>
    <n v="193674"/>
    <n v="6681"/>
    <n v="292"/>
    <n v="14256.19"/>
    <n v="58734.23"/>
    <n v="3.45"/>
    <n v="4.38"/>
    <n v="2.13"/>
    <n v="48.82"/>
    <n v="4.12"/>
    <n v="311.99"/>
  </r>
  <r>
    <s v="CMP0732"/>
    <s v="Configurable interactive project"/>
    <x v="1"/>
    <s v="Awareness"/>
    <s v="USA"/>
    <d v="2024-10-07T00:00:00"/>
    <d v="2024-11-03T00:00:00"/>
    <n v="416205"/>
    <n v="5160"/>
    <n v="281"/>
    <n v="10733.93"/>
    <n v="56691.7"/>
    <n v="1.24"/>
    <n v="5.46"/>
    <n v="2.08"/>
    <n v="38.200000000000003"/>
    <n v="5.28"/>
    <n v="428.15"/>
  </r>
  <r>
    <s v="CMP0733"/>
    <s v="Balanced eco-centric alliance"/>
    <x v="1"/>
    <s v="Awareness"/>
    <s v="India"/>
    <d v="2024-07-24T00:00:00"/>
    <d v="2024-08-12T00:00:00"/>
    <n v="386264"/>
    <n v="7300"/>
    <n v="686"/>
    <n v="16656.310000000001"/>
    <n v="43513.19"/>
    <n v="1.89"/>
    <n v="9.41"/>
    <n v="2.2799999999999998"/>
    <n v="24.28"/>
    <n v="2.61"/>
    <n v="161.24"/>
  </r>
  <r>
    <s v="CMP0734"/>
    <s v="Stand-alone maximized protocol"/>
    <x v="4"/>
    <s v="Conversion"/>
    <s v="Australia"/>
    <d v="2024-03-07T00:00:00"/>
    <d v="2024-04-21T00:00:00"/>
    <n v="93113"/>
    <n v="1387"/>
    <n v="32"/>
    <n v="11419.55"/>
    <n v="62284.89"/>
    <n v="1.49"/>
    <n v="2.37"/>
    <n v="8.23"/>
    <n v="356.86"/>
    <n v="5.45"/>
    <n v="445.42"/>
  </r>
  <r>
    <s v="CMP0735"/>
    <s v="Expanded executive core"/>
    <x v="1"/>
    <s v="Conversion"/>
    <s v="Canada"/>
    <d v="2024-06-16T00:00:00"/>
    <d v="2024-07-11T00:00:00"/>
    <n v="300801"/>
    <n v="6858"/>
    <n v="406"/>
    <n v="6775.66"/>
    <n v="31632.79"/>
    <n v="2.2799999999999998"/>
    <n v="5.93"/>
    <n v="0.99"/>
    <n v="16.690000000000001"/>
    <n v="4.67"/>
    <n v="366.86"/>
  </r>
  <r>
    <s v="CMP0736"/>
    <s v="Synchronized content-based project"/>
    <x v="2"/>
    <s v="Awareness"/>
    <s v="Canada"/>
    <d v="2024-04-24T00:00:00"/>
    <d v="2024-05-02T00:00:00"/>
    <n v="242728"/>
    <n v="4975"/>
    <n v="317"/>
    <n v="17171.36"/>
    <n v="102676.77"/>
    <n v="2.0499999999999998"/>
    <n v="6.38"/>
    <n v="3.45"/>
    <n v="54.17"/>
    <n v="5.98"/>
    <n v="497.95"/>
  </r>
  <r>
    <s v="CMP0737"/>
    <s v="Progressive user-facing support"/>
    <x v="0"/>
    <s v="Lead Generation"/>
    <s v="India"/>
    <d v="2024-08-07T00:00:00"/>
    <d v="2024-09-21T00:00:00"/>
    <n v="292443"/>
    <n v="9621"/>
    <n v="789"/>
    <n v="8375.1200000000008"/>
    <n v="31864.46"/>
    <n v="3.29"/>
    <n v="8.2100000000000009"/>
    <n v="0.87"/>
    <n v="10.61"/>
    <n v="3.8"/>
    <n v="280.47000000000003"/>
  </r>
  <r>
    <s v="CMP0738"/>
    <s v="Advanced regional forecast"/>
    <x v="4"/>
    <s v="Lead Generation"/>
    <s v="India"/>
    <d v="2024-08-20T00:00:00"/>
    <d v="2024-09-27T00:00:00"/>
    <n v="242896"/>
    <n v="3983"/>
    <n v="139"/>
    <n v="2676.44"/>
    <n v="11686.06"/>
    <n v="1.64"/>
    <n v="3.49"/>
    <n v="0.67"/>
    <n v="19.25"/>
    <n v="4.37"/>
    <n v="336.63"/>
  </r>
  <r>
    <s v="CMP0739"/>
    <s v="Focused context-sensitive benchmark"/>
    <x v="0"/>
    <s v="Lead Generation"/>
    <s v="USA"/>
    <d v="2024-07-14T00:00:00"/>
    <d v="2024-07-29T00:00:00"/>
    <n v="149900"/>
    <n v="9413"/>
    <n v="835"/>
    <n v="10324.06"/>
    <n v="55326.57"/>
    <n v="6.28"/>
    <n v="8.8800000000000008"/>
    <n v="1.1000000000000001"/>
    <n v="12.36"/>
    <n v="5.36"/>
    <n v="435.9"/>
  </r>
  <r>
    <s v="CMP0740"/>
    <s v="Proactive modular moderator"/>
    <x v="1"/>
    <s v="Lead Generation"/>
    <s v="Australia"/>
    <d v="2024-07-28T00:00:00"/>
    <d v="2024-08-13T00:00:00"/>
    <n v="163018"/>
    <n v="4059"/>
    <n v="283"/>
    <n v="14835.02"/>
    <n v="57596.81"/>
    <n v="2.4900000000000002"/>
    <n v="6.98"/>
    <n v="3.65"/>
    <n v="52.42"/>
    <n v="3.88"/>
    <n v="288.25"/>
  </r>
  <r>
    <s v="CMP0741"/>
    <s v="Managed real-time capability"/>
    <x v="0"/>
    <s v="Conversion"/>
    <s v="UK"/>
    <d v="2024-08-22T00:00:00"/>
    <d v="2024-09-03T00:00:00"/>
    <n v="173462"/>
    <n v="8621"/>
    <n v="813"/>
    <n v="12392.75"/>
    <n v="62945.279999999999"/>
    <n v="4.97"/>
    <n v="9.44"/>
    <n v="1.44"/>
    <n v="15.24"/>
    <n v="5.08"/>
    <n v="407.92"/>
  </r>
  <r>
    <s v="CMP0742"/>
    <s v="Persevering asymmetric complexity"/>
    <x v="0"/>
    <s v="Retention"/>
    <s v="USA"/>
    <d v="2024-08-04T00:00:00"/>
    <d v="2024-09-18T00:00:00"/>
    <n v="219473"/>
    <n v="14046"/>
    <n v="897"/>
    <n v="9244.35"/>
    <n v="34441.949999999997"/>
    <n v="6.4"/>
    <n v="6.39"/>
    <n v="0.66"/>
    <n v="10.31"/>
    <n v="3.73"/>
    <n v="272.57"/>
  </r>
  <r>
    <s v="CMP0743"/>
    <s v="Versatile intermediate parallelism"/>
    <x v="4"/>
    <s v="Awareness"/>
    <s v="India"/>
    <d v="2024-11-06T00:00:00"/>
    <d v="2024-12-21T00:00:00"/>
    <n v="342028"/>
    <n v="4617"/>
    <n v="123"/>
    <n v="5435.52"/>
    <n v="33086.120000000003"/>
    <n v="1.35"/>
    <n v="2.67"/>
    <n v="1.18"/>
    <n v="44.19"/>
    <n v="6.09"/>
    <n v="508.7"/>
  </r>
  <r>
    <s v="CMP0744"/>
    <s v="Integrated real-time groupware"/>
    <x v="0"/>
    <s v="Awareness"/>
    <s v="UK"/>
    <d v="2024-10-13T00:00:00"/>
    <d v="2024-10-22T00:00:00"/>
    <n v="314525"/>
    <n v="15663"/>
    <n v="911"/>
    <n v="12893.94"/>
    <n v="47308.58"/>
    <n v="4.9800000000000004"/>
    <n v="5.82"/>
    <n v="0.82"/>
    <n v="14.15"/>
    <n v="3.67"/>
    <n v="266.91000000000003"/>
  </r>
  <r>
    <s v="CMP0745"/>
    <s v="Advanced zero-defect alliance"/>
    <x v="3"/>
    <s v="Lead Generation"/>
    <s v="UK"/>
    <d v="2024-06-11T00:00:00"/>
    <d v="2024-07-21T00:00:00"/>
    <n v="139058"/>
    <n v="9761"/>
    <n v="1688"/>
    <n v="4450.54"/>
    <n v="11543.09"/>
    <n v="7.02"/>
    <n v="17.3"/>
    <n v="0.46"/>
    <n v="2.64"/>
    <n v="2.59"/>
    <n v="159.36000000000001"/>
  </r>
  <r>
    <s v="CMP0746"/>
    <s v="Ergonomic disintermediate help-desk"/>
    <x v="1"/>
    <s v="Lead Generation"/>
    <s v="UK"/>
    <d v="2024-05-23T00:00:00"/>
    <d v="2024-06-22T00:00:00"/>
    <n v="111258"/>
    <n v="1479"/>
    <n v="175"/>
    <n v="11987.37"/>
    <n v="76481.48"/>
    <n v="1.33"/>
    <n v="11.85"/>
    <n v="8.11"/>
    <n v="68.5"/>
    <n v="6.38"/>
    <n v="538.02"/>
  </r>
  <r>
    <s v="CMP0747"/>
    <s v="Secured system-worthy throughput"/>
    <x v="1"/>
    <s v="Conversion"/>
    <s v="UK"/>
    <d v="2024-03-25T00:00:00"/>
    <d v="2024-04-21T00:00:00"/>
    <n v="371352"/>
    <n v="8206"/>
    <n v="942"/>
    <n v="12271.56"/>
    <n v="48607.519999999997"/>
    <n v="2.21"/>
    <n v="11.49"/>
    <n v="1.5"/>
    <n v="13.03"/>
    <n v="3.96"/>
    <n v="296.10000000000002"/>
  </r>
  <r>
    <s v="CMP0748"/>
    <s v="Front-line clear-thinking infrastructure"/>
    <x v="1"/>
    <s v="Lead Generation"/>
    <s v="Australia"/>
    <d v="2024-01-28T00:00:00"/>
    <d v="2024-02-18T00:00:00"/>
    <n v="497235"/>
    <n v="11784"/>
    <n v="1114"/>
    <n v="11039.83"/>
    <n v="31465.06"/>
    <n v="2.37"/>
    <n v="9.4600000000000009"/>
    <n v="0.94"/>
    <n v="9.91"/>
    <n v="2.85"/>
    <n v="185.01"/>
  </r>
  <r>
    <s v="CMP0749"/>
    <s v="Multi-layered user-facing interface"/>
    <x v="2"/>
    <s v="Awareness"/>
    <s v="Canada"/>
    <d v="2024-09-10T00:00:00"/>
    <d v="2024-09-19T00:00:00"/>
    <n v="186432"/>
    <n v="3709"/>
    <n v="160"/>
    <n v="4740.3599999999997"/>
    <n v="28576.26"/>
    <n v="1.99"/>
    <n v="4.34"/>
    <n v="1.28"/>
    <n v="29.63"/>
    <n v="6.03"/>
    <n v="502.83"/>
  </r>
  <r>
    <s v="CMP0750"/>
    <s v="Implemented zero tolerance support"/>
    <x v="1"/>
    <s v="Conversion"/>
    <s v="Australia"/>
    <d v="2024-06-27T00:00:00"/>
    <d v="2024-07-09T00:00:00"/>
    <n v="304384"/>
    <n v="4809"/>
    <n v="278"/>
    <n v="15516.22"/>
    <n v="41369.99"/>
    <n v="1.58"/>
    <n v="5.79"/>
    <n v="3.23"/>
    <n v="55.81"/>
    <n v="2.67"/>
    <n v="166.62"/>
  </r>
  <r>
    <s v="CMP0751"/>
    <s v="Innovative non-volatile Local Area Network"/>
    <x v="2"/>
    <s v="Conversion"/>
    <s v="USA"/>
    <d v="2024-10-26T00:00:00"/>
    <d v="2024-11-15T00:00:00"/>
    <n v="487756"/>
    <n v="9755"/>
    <n v="442"/>
    <n v="7091.87"/>
    <n v="42615.23"/>
    <n v="2"/>
    <n v="4.54"/>
    <n v="0.73"/>
    <n v="16.04"/>
    <n v="6.01"/>
    <n v="500.9"/>
  </r>
  <r>
    <s v="CMP0752"/>
    <s v="Upgradable dynamic array"/>
    <x v="3"/>
    <s v="Awareness"/>
    <s v="Australia"/>
    <d v="2024-02-18T00:00:00"/>
    <d v="2024-03-17T00:00:00"/>
    <n v="452049"/>
    <n v="33542"/>
    <n v="4078"/>
    <n v="845.76"/>
    <n v="4615.43"/>
    <n v="7.42"/>
    <n v="12.16"/>
    <n v="0.03"/>
    <n v="0.21"/>
    <n v="5.46"/>
    <n v="445.71"/>
  </r>
  <r>
    <s v="CMP0753"/>
    <s v="Enterprise-wide scalable framework"/>
    <x v="0"/>
    <s v="Conversion"/>
    <s v="India"/>
    <d v="2024-01-15T00:00:00"/>
    <d v="2024-01-27T00:00:00"/>
    <n v="256658"/>
    <n v="10240"/>
    <n v="979"/>
    <n v="7121.4"/>
    <n v="24611.01"/>
    <n v="3.99"/>
    <n v="9.57"/>
    <n v="0.7"/>
    <n v="7.27"/>
    <n v="3.46"/>
    <n v="245.59"/>
  </r>
  <r>
    <s v="CMP0754"/>
    <s v="Team-oriented zero administration firmware"/>
    <x v="1"/>
    <s v="Retention"/>
    <s v="Canada"/>
    <d v="2024-11-14T00:00:00"/>
    <d v="2024-12-19T00:00:00"/>
    <n v="379439"/>
    <n v="9182"/>
    <n v="841"/>
    <n v="4092.89"/>
    <n v="26047.02"/>
    <n v="2.42"/>
    <n v="9.16"/>
    <n v="0.45"/>
    <n v="4.87"/>
    <n v="6.36"/>
    <n v="536.4"/>
  </r>
  <r>
    <s v="CMP0755"/>
    <s v="Universal 6thgeneration protocol"/>
    <x v="4"/>
    <s v="Lead Generation"/>
    <s v="USA"/>
    <d v="2024-10-07T00:00:00"/>
    <d v="2024-11-21T00:00:00"/>
    <n v="75523"/>
    <n v="2477"/>
    <n v="61"/>
    <n v="12476.84"/>
    <n v="66714.91"/>
    <n v="3.28"/>
    <n v="2.4900000000000002"/>
    <n v="5.04"/>
    <n v="204.54"/>
    <n v="5.35"/>
    <n v="434.71"/>
  </r>
  <r>
    <s v="CMP0756"/>
    <s v="Integrated real-time software"/>
    <x v="1"/>
    <s v="Awareness"/>
    <s v="Canada"/>
    <d v="2024-04-16T00:00:00"/>
    <d v="2024-05-03T00:00:00"/>
    <n v="183779"/>
    <n v="2021"/>
    <n v="237"/>
    <n v="17848.25"/>
    <n v="42859.85"/>
    <n v="1.1000000000000001"/>
    <n v="11.76"/>
    <n v="8.83"/>
    <n v="75.31"/>
    <n v="2.4"/>
    <n v="140.13"/>
  </r>
  <r>
    <s v="CMP0757"/>
    <s v="Automated optimizing conglomeration"/>
    <x v="1"/>
    <s v="Retention"/>
    <s v="UK"/>
    <d v="2024-08-09T00:00:00"/>
    <d v="2024-09-04T00:00:00"/>
    <n v="389302"/>
    <n v="8097"/>
    <n v="775"/>
    <n v="5929.63"/>
    <n v="24956.639999999999"/>
    <n v="2.08"/>
    <n v="9.58"/>
    <n v="0.73"/>
    <n v="7.65"/>
    <n v="4.21"/>
    <n v="320.88"/>
  </r>
  <r>
    <s v="CMP0758"/>
    <s v="Total interactive forecast"/>
    <x v="3"/>
    <s v="Lead Generation"/>
    <s v="UK"/>
    <d v="2024-07-17T00:00:00"/>
    <d v="2024-08-23T00:00:00"/>
    <n v="398924"/>
    <n v="18270"/>
    <n v="2132"/>
    <n v="1399.42"/>
    <n v="5603.96"/>
    <n v="4.58"/>
    <n v="11.67"/>
    <n v="0.08"/>
    <n v="0.66"/>
    <n v="4"/>
    <n v="300.45"/>
  </r>
  <r>
    <s v="CMP0759"/>
    <s v="Up-sized web-enabled standardization"/>
    <x v="4"/>
    <s v="Retention"/>
    <s v="India"/>
    <d v="2024-02-17T00:00:00"/>
    <d v="2024-02-26T00:00:00"/>
    <n v="446618"/>
    <n v="10272"/>
    <n v="286"/>
    <n v="4829.45"/>
    <n v="23365.3"/>
    <n v="2.2999999999999998"/>
    <n v="2.79"/>
    <n v="0.47"/>
    <n v="16.89"/>
    <n v="4.84"/>
    <n v="383.81"/>
  </r>
  <r>
    <s v="CMP0760"/>
    <s v="Seamless dynamic monitoring"/>
    <x v="3"/>
    <s v="Conversion"/>
    <s v="Canada"/>
    <d v="2024-11-18T00:00:00"/>
    <d v="2024-12-28T00:00:00"/>
    <n v="404649"/>
    <n v="21648"/>
    <n v="3216"/>
    <n v="1197.81"/>
    <n v="5065.4799999999996"/>
    <n v="5.35"/>
    <n v="14.86"/>
    <n v="0.06"/>
    <n v="0.37"/>
    <n v="4.2300000000000004"/>
    <n v="322.89999999999998"/>
  </r>
  <r>
    <s v="CMP0761"/>
    <s v="Decentralized eco-centric standardization"/>
    <x v="0"/>
    <s v="Conversion"/>
    <s v="Canada"/>
    <d v="2024-06-02T00:00:00"/>
    <d v="2024-06-24T00:00:00"/>
    <n v="279300"/>
    <n v="7876"/>
    <n v="693"/>
    <n v="11007.87"/>
    <n v="70767.81"/>
    <n v="2.82"/>
    <n v="8.81"/>
    <n v="1.4"/>
    <n v="15.88"/>
    <n v="6.43"/>
    <n v="542.88"/>
  </r>
  <r>
    <s v="CMP0762"/>
    <s v="Exclusive modular neural-net"/>
    <x v="3"/>
    <s v="Retention"/>
    <s v="UK"/>
    <d v="2024-08-05T00:00:00"/>
    <d v="2024-09-07T00:00:00"/>
    <n v="348076"/>
    <n v="14932"/>
    <n v="1309"/>
    <n v="702.93"/>
    <n v="1746.32"/>
    <n v="4.29"/>
    <n v="8.77"/>
    <n v="0.05"/>
    <n v="0.54"/>
    <n v="2.48"/>
    <n v="148.43"/>
  </r>
  <r>
    <s v="CMP0763"/>
    <s v="Persevering maximized archive"/>
    <x v="0"/>
    <s v="Retention"/>
    <s v="Australia"/>
    <d v="2024-02-28T00:00:00"/>
    <d v="2024-04-04T00:00:00"/>
    <n v="476154"/>
    <n v="16713"/>
    <n v="924"/>
    <n v="6635.39"/>
    <n v="28303.26"/>
    <n v="3.51"/>
    <n v="5.53"/>
    <n v="0.4"/>
    <n v="7.18"/>
    <n v="4.2699999999999996"/>
    <n v="326.55"/>
  </r>
  <r>
    <s v="CMP0764"/>
    <s v="Diverse intermediate methodology"/>
    <x v="2"/>
    <s v="Lead Generation"/>
    <s v="Canada"/>
    <d v="2024-08-20T00:00:00"/>
    <d v="2024-09-24T00:00:00"/>
    <n v="73728"/>
    <n v="1290"/>
    <n v="82"/>
    <n v="7464.71"/>
    <n v="34654.449999999997"/>
    <n v="1.75"/>
    <n v="6.38"/>
    <n v="5.79"/>
    <n v="91.03"/>
    <n v="4.6399999999999997"/>
    <n v="364.24"/>
  </r>
  <r>
    <s v="CMP0765"/>
    <s v="Future-proofed systemic help-desk"/>
    <x v="3"/>
    <s v="Conversion"/>
    <s v="UK"/>
    <d v="2024-02-24T00:00:00"/>
    <d v="2024-03-29T00:00:00"/>
    <n v="474676"/>
    <n v="24303"/>
    <n v="2393"/>
    <n v="3861.63"/>
    <n v="18220.09"/>
    <n v="5.12"/>
    <n v="9.85"/>
    <n v="0.16"/>
    <n v="1.61"/>
    <n v="4.72"/>
    <n v="371.82"/>
  </r>
  <r>
    <s v="CMP0766"/>
    <s v="Assimilated disintermediate project"/>
    <x v="3"/>
    <s v="Awareness"/>
    <s v="India"/>
    <d v="2024-11-04T00:00:00"/>
    <d v="2024-12-12T00:00:00"/>
    <n v="257059"/>
    <n v="12081"/>
    <n v="1174"/>
    <n v="2647.04"/>
    <n v="13534.65"/>
    <n v="4.7"/>
    <n v="9.7200000000000006"/>
    <n v="0.22"/>
    <n v="2.25"/>
    <n v="5.1100000000000003"/>
    <n v="411.31"/>
  </r>
  <r>
    <s v="CMP0767"/>
    <s v="Seamless 24/7 instruction set"/>
    <x v="4"/>
    <s v="Conversion"/>
    <s v="Canada"/>
    <d v="2024-01-09T00:00:00"/>
    <d v="2024-01-28T00:00:00"/>
    <n v="471863"/>
    <n v="9390"/>
    <n v="182"/>
    <n v="2673.45"/>
    <n v="6693.27"/>
    <n v="1.99"/>
    <n v="1.94"/>
    <n v="0.28000000000000003"/>
    <n v="14.69"/>
    <n v="2.5"/>
    <n v="150.36000000000001"/>
  </r>
  <r>
    <s v="CMP0768"/>
    <s v="Expanded content-based Graphical User Interface"/>
    <x v="0"/>
    <s v="Lead Generation"/>
    <s v="Canada"/>
    <d v="2024-10-02T00:00:00"/>
    <d v="2024-10-21T00:00:00"/>
    <n v="390065"/>
    <n v="12014"/>
    <n v="654"/>
    <n v="21841.79"/>
    <n v="128033.34"/>
    <n v="3.08"/>
    <n v="5.45"/>
    <n v="1.82"/>
    <n v="33.4"/>
    <n v="5.86"/>
    <n v="486.19"/>
  </r>
  <r>
    <s v="CMP0769"/>
    <s v="Self-enabling demand-driven emulation"/>
    <x v="0"/>
    <s v="Conversion"/>
    <s v="Canada"/>
    <d v="2024-08-15T00:00:00"/>
    <d v="2024-09-22T00:00:00"/>
    <n v="127681"/>
    <n v="5617"/>
    <n v="231"/>
    <n v="8322.11"/>
    <n v="22352.36"/>
    <n v="4.4000000000000004"/>
    <n v="4.13"/>
    <n v="1.48"/>
    <n v="36.03"/>
    <n v="2.69"/>
    <n v="168.59"/>
  </r>
  <r>
    <s v="CMP0770"/>
    <s v="Networked user-facing encoding"/>
    <x v="1"/>
    <s v="Awareness"/>
    <s v="Canada"/>
    <d v="2024-06-19T00:00:00"/>
    <d v="2024-06-26T00:00:00"/>
    <n v="356827"/>
    <n v="4317"/>
    <n v="304"/>
    <n v="17271.21"/>
    <n v="64988.11"/>
    <n v="1.21"/>
    <n v="7.06"/>
    <n v="4"/>
    <n v="56.81"/>
    <n v="3.76"/>
    <n v="276.27999999999997"/>
  </r>
  <r>
    <s v="CMP0771"/>
    <s v="Automated demand-driven matrix"/>
    <x v="0"/>
    <s v="Retention"/>
    <s v="Canada"/>
    <d v="2024-01-19T00:00:00"/>
    <d v="2024-02-26T00:00:00"/>
    <n v="494919"/>
    <n v="22172"/>
    <n v="1656"/>
    <n v="19621.57"/>
    <n v="127454.24"/>
    <n v="4.4800000000000004"/>
    <n v="7.47"/>
    <n v="0.88"/>
    <n v="11.85"/>
    <n v="6.5"/>
    <n v="549.55999999999995"/>
  </r>
  <r>
    <s v="CMP0772"/>
    <s v="Polarized incremental protocol"/>
    <x v="1"/>
    <s v="Retention"/>
    <s v="Australia"/>
    <d v="2024-04-28T00:00:00"/>
    <d v="2024-05-08T00:00:00"/>
    <n v="359874"/>
    <n v="7305"/>
    <n v="843"/>
    <n v="18481.169999999998"/>
    <n v="109119.37"/>
    <n v="2.0299999999999998"/>
    <n v="11.55"/>
    <n v="2.5299999999999998"/>
    <n v="21.92"/>
    <n v="5.9"/>
    <n v="490.44"/>
  </r>
  <r>
    <s v="CMP0773"/>
    <s v="Cross-platform encompassing capability"/>
    <x v="3"/>
    <s v="Awareness"/>
    <s v="Canada"/>
    <d v="2024-08-30T00:00:00"/>
    <d v="2024-09-13T00:00:00"/>
    <n v="352201"/>
    <n v="20779"/>
    <n v="1795"/>
    <n v="4517.95"/>
    <n v="17516.63"/>
    <n v="5.9"/>
    <n v="8.64"/>
    <n v="0.22"/>
    <n v="2.52"/>
    <n v="3.88"/>
    <n v="287.70999999999998"/>
  </r>
  <r>
    <s v="CMP0774"/>
    <s v="Enhanced 5thgeneration monitoring"/>
    <x v="1"/>
    <s v="Conversion"/>
    <s v="Canada"/>
    <d v="2024-08-12T00:00:00"/>
    <d v="2024-09-02T00:00:00"/>
    <n v="415698"/>
    <n v="6401"/>
    <n v="392"/>
    <n v="15619.35"/>
    <n v="64220.24"/>
    <n v="1.54"/>
    <n v="6.13"/>
    <n v="2.44"/>
    <n v="39.85"/>
    <n v="4.1100000000000003"/>
    <n v="311.16000000000003"/>
  </r>
  <r>
    <s v="CMP0775"/>
    <s v="Devolved zero tolerance open system"/>
    <x v="3"/>
    <s v="Lead Generation"/>
    <s v="Australia"/>
    <d v="2024-03-08T00:00:00"/>
    <d v="2024-04-02T00:00:00"/>
    <n v="409123"/>
    <n v="24670"/>
    <n v="3458"/>
    <n v="4291.1000000000004"/>
    <n v="21268.03"/>
    <n v="6.03"/>
    <n v="14.02"/>
    <n v="0.17"/>
    <n v="1.24"/>
    <n v="4.96"/>
    <n v="395.63"/>
  </r>
  <r>
    <s v="CMP0776"/>
    <s v="Realigned coherent interface"/>
    <x v="1"/>
    <s v="Retention"/>
    <s v="UK"/>
    <d v="2024-02-14T00:00:00"/>
    <d v="2024-03-22T00:00:00"/>
    <n v="467318"/>
    <n v="7477"/>
    <n v="882"/>
    <n v="6592.41"/>
    <n v="19331.84"/>
    <n v="1.6"/>
    <n v="11.8"/>
    <n v="0.88"/>
    <n v="7.47"/>
    <n v="2.93"/>
    <n v="193.24"/>
  </r>
  <r>
    <s v="CMP0777"/>
    <s v="Progressive fresh-thinking encoding"/>
    <x v="2"/>
    <s v="Lead Generation"/>
    <s v="USA"/>
    <d v="2024-06-04T00:00:00"/>
    <d v="2024-06-26T00:00:00"/>
    <n v="131953"/>
    <n v="4380"/>
    <n v="109"/>
    <n v="9239.77"/>
    <n v="59799.35"/>
    <n v="3.32"/>
    <n v="2.5"/>
    <n v="2.11"/>
    <n v="84.77"/>
    <n v="6.47"/>
    <n v="547.20000000000005"/>
  </r>
  <r>
    <s v="CMP0778"/>
    <s v="Customizable scalable circuit"/>
    <x v="2"/>
    <s v="Awareness"/>
    <s v="India"/>
    <d v="2024-09-14T00:00:00"/>
    <d v="2024-09-23T00:00:00"/>
    <n v="238107"/>
    <n v="9857"/>
    <n v="373"/>
    <n v="5379.08"/>
    <n v="30799.37"/>
    <n v="4.1399999999999997"/>
    <n v="3.79"/>
    <n v="0.55000000000000004"/>
    <n v="14.42"/>
    <n v="5.73"/>
    <n v="472.58"/>
  </r>
  <r>
    <s v="CMP0779"/>
    <s v="Streamlined didactic Graphical User Interface"/>
    <x v="0"/>
    <s v="Conversion"/>
    <s v="Canada"/>
    <d v="2024-06-23T00:00:00"/>
    <d v="2024-07-22T00:00:00"/>
    <n v="109752"/>
    <n v="5454"/>
    <n v="257"/>
    <n v="9481.91"/>
    <n v="29964.73"/>
    <n v="4.97"/>
    <n v="4.72"/>
    <n v="1.74"/>
    <n v="36.89"/>
    <n v="3.16"/>
    <n v="216.02"/>
  </r>
  <r>
    <s v="CMP0780"/>
    <s v="Intuitive context-sensitive analyzer"/>
    <x v="0"/>
    <s v="Conversion"/>
    <s v="USA"/>
    <d v="2024-08-12T00:00:00"/>
    <d v="2024-09-17T00:00:00"/>
    <n v="497431"/>
    <n v="26164"/>
    <n v="1855"/>
    <n v="18389.72"/>
    <n v="95237.09"/>
    <n v="5.26"/>
    <n v="7.09"/>
    <n v="0.7"/>
    <n v="9.91"/>
    <n v="5.18"/>
    <n v="417.88"/>
  </r>
  <r>
    <s v="CMP0781"/>
    <s v="Multi-lateral 3rdgeneration Local Area Network"/>
    <x v="0"/>
    <s v="Awareness"/>
    <s v="Australia"/>
    <d v="2024-02-23T00:00:00"/>
    <d v="2024-03-11T00:00:00"/>
    <n v="369635"/>
    <n v="20810"/>
    <n v="2014"/>
    <n v="21472.2"/>
    <n v="46999.69"/>
    <n v="5.63"/>
    <n v="9.68"/>
    <n v="1.03"/>
    <n v="10.66"/>
    <n v="2.19"/>
    <n v="118.89"/>
  </r>
  <r>
    <s v="CMP0782"/>
    <s v="Ameliorated multi-tasking utilization"/>
    <x v="0"/>
    <s v="Lead Generation"/>
    <s v="UK"/>
    <d v="2024-02-20T00:00:00"/>
    <d v="2024-03-07T00:00:00"/>
    <n v="132330"/>
    <n v="7159"/>
    <n v="590"/>
    <n v="20239.29"/>
    <n v="85870.44"/>
    <n v="5.41"/>
    <n v="8.25"/>
    <n v="2.83"/>
    <n v="34.299999999999997"/>
    <n v="4.24"/>
    <n v="324.27999999999997"/>
  </r>
  <r>
    <s v="CMP0783"/>
    <s v="Fundamental maximized software"/>
    <x v="4"/>
    <s v="Conversion"/>
    <s v="USA"/>
    <d v="2024-05-05T00:00:00"/>
    <d v="2024-06-11T00:00:00"/>
    <n v="114478"/>
    <n v="3903"/>
    <n v="118"/>
    <n v="7696.87"/>
    <n v="42029.91"/>
    <n v="3.41"/>
    <n v="3.04"/>
    <n v="1.97"/>
    <n v="65.23"/>
    <n v="5.46"/>
    <n v="446.06"/>
  </r>
  <r>
    <s v="CMP0784"/>
    <s v="Cross-platform context-sensitive project"/>
    <x v="4"/>
    <s v="Conversion"/>
    <s v="Australia"/>
    <d v="2024-05-05T00:00:00"/>
    <d v="2024-05-21T00:00:00"/>
    <n v="139790"/>
    <n v="1985"/>
    <n v="55"/>
    <n v="11935.57"/>
    <n v="43241.32"/>
    <n v="1.42"/>
    <n v="2.8"/>
    <n v="6.01"/>
    <n v="217.01"/>
    <n v="3.62"/>
    <n v="262.29000000000002"/>
  </r>
  <r>
    <s v="CMP0785"/>
    <s v="Extended systematic policy"/>
    <x v="3"/>
    <s v="Retention"/>
    <s v="USA"/>
    <d v="2024-09-21T00:00:00"/>
    <d v="2024-10-21T00:00:00"/>
    <n v="122348"/>
    <n v="10778"/>
    <n v="1307"/>
    <n v="2341.89"/>
    <n v="9518.35"/>
    <n v="8.81"/>
    <n v="12.13"/>
    <n v="0.22"/>
    <n v="1.79"/>
    <n v="4.0599999999999996"/>
    <n v="306.44"/>
  </r>
  <r>
    <s v="CMP0786"/>
    <s v="Stand-alone composite time-frame"/>
    <x v="0"/>
    <s v="Retention"/>
    <s v="USA"/>
    <d v="2024-06-10T00:00:00"/>
    <d v="2024-07-12T00:00:00"/>
    <n v="453781"/>
    <n v="11526"/>
    <n v="1018"/>
    <n v="23872.86"/>
    <n v="56853.26"/>
    <n v="2.54"/>
    <n v="8.84"/>
    <n v="2.0699999999999998"/>
    <n v="23.45"/>
    <n v="2.38"/>
    <n v="138.15"/>
  </r>
  <r>
    <s v="CMP0787"/>
    <s v="Total modular function"/>
    <x v="2"/>
    <s v="Retention"/>
    <s v="India"/>
    <d v="2024-01-30T00:00:00"/>
    <d v="2024-03-10T00:00:00"/>
    <n v="256184"/>
    <n v="9683"/>
    <n v="513"/>
    <n v="12621.99"/>
    <n v="76505.67"/>
    <n v="3.78"/>
    <n v="5.3"/>
    <n v="1.3"/>
    <n v="24.6"/>
    <n v="6.06"/>
    <n v="506.13"/>
  </r>
  <r>
    <s v="CMP0788"/>
    <s v="Devolved zero tolerance Graphic Interface"/>
    <x v="4"/>
    <s v="Retention"/>
    <s v="Canada"/>
    <d v="2024-06-25T00:00:00"/>
    <d v="2024-07-02T00:00:00"/>
    <n v="406972"/>
    <n v="12290"/>
    <n v="560"/>
    <n v="11519.39"/>
    <n v="39299.879999999997"/>
    <n v="3.02"/>
    <n v="4.5599999999999996"/>
    <n v="0.94"/>
    <n v="20.57"/>
    <n v="3.41"/>
    <n v="241.16"/>
  </r>
  <r>
    <s v="CMP0789"/>
    <s v="Front-line tertiary concept"/>
    <x v="4"/>
    <s v="Lead Generation"/>
    <s v="Canada"/>
    <d v="2024-08-14T00:00:00"/>
    <d v="2024-09-12T00:00:00"/>
    <n v="283931"/>
    <n v="8148"/>
    <n v="375"/>
    <n v="10304.5"/>
    <n v="49274.51"/>
    <n v="2.87"/>
    <n v="4.6100000000000003"/>
    <n v="1.26"/>
    <n v="27.48"/>
    <n v="4.78"/>
    <n v="378.18"/>
  </r>
  <r>
    <s v="CMP0790"/>
    <s v="Horizontal motivating toolset"/>
    <x v="1"/>
    <s v="Lead Generation"/>
    <s v="UK"/>
    <d v="2024-03-05T00:00:00"/>
    <d v="2024-04-14T00:00:00"/>
    <n v="94187"/>
    <n v="810"/>
    <n v="59"/>
    <n v="15601.58"/>
    <n v="83160.09"/>
    <n v="0.86"/>
    <n v="7.34"/>
    <n v="19.260000000000002"/>
    <n v="264.43"/>
    <n v="5.33"/>
    <n v="433.02"/>
  </r>
  <r>
    <s v="CMP0791"/>
    <s v="User-friendly maximized complexity"/>
    <x v="3"/>
    <s v="Conversion"/>
    <s v="USA"/>
    <d v="2024-01-12T00:00:00"/>
    <d v="2024-01-20T00:00:00"/>
    <n v="98664"/>
    <n v="6975"/>
    <n v="775"/>
    <n v="2033.19"/>
    <n v="9882.49"/>
    <n v="7.07"/>
    <n v="11.12"/>
    <n v="0.28999999999999998"/>
    <n v="2.62"/>
    <n v="4.8600000000000003"/>
    <n v="386.06"/>
  </r>
  <r>
    <s v="CMP0792"/>
    <s v="Mandatory 24/7 array"/>
    <x v="3"/>
    <s v="Conversion"/>
    <s v="USA"/>
    <d v="2024-01-31T00:00:00"/>
    <d v="2024-03-01T00:00:00"/>
    <n v="486327"/>
    <n v="42018"/>
    <n v="6416"/>
    <n v="4941.3"/>
    <n v="12338.37"/>
    <n v="8.64"/>
    <n v="15.27"/>
    <n v="0.12"/>
    <n v="0.77"/>
    <n v="2.5"/>
    <n v="149.69999999999999"/>
  </r>
  <r>
    <s v="CMP0793"/>
    <s v="Team-oriented leadingedge encoding"/>
    <x v="4"/>
    <s v="Conversion"/>
    <s v="India"/>
    <d v="2024-01-03T00:00:00"/>
    <d v="2024-02-08T00:00:00"/>
    <n v="75025"/>
    <n v="2378"/>
    <n v="113"/>
    <n v="8109.21"/>
    <n v="37107.410000000003"/>
    <n v="3.17"/>
    <n v="4.79"/>
    <n v="3.41"/>
    <n v="71.760000000000005"/>
    <n v="4.58"/>
    <n v="357.6"/>
  </r>
  <r>
    <s v="CMP0794"/>
    <s v="Team-oriented cohesive parallelism"/>
    <x v="4"/>
    <s v="Lead Generation"/>
    <s v="Australia"/>
    <d v="2024-04-29T00:00:00"/>
    <d v="2024-05-28T00:00:00"/>
    <n v="346535"/>
    <n v="10603"/>
    <n v="506"/>
    <n v="10819.01"/>
    <n v="62752.76"/>
    <n v="3.06"/>
    <n v="4.78"/>
    <n v="1.02"/>
    <n v="21.38"/>
    <n v="5.8"/>
    <n v="480.02"/>
  </r>
  <r>
    <s v="CMP0795"/>
    <s v="Organic contextually-based definition"/>
    <x v="4"/>
    <s v="Conversion"/>
    <s v="Australia"/>
    <d v="2024-09-21T00:00:00"/>
    <d v="2024-11-04T00:00:00"/>
    <n v="402548"/>
    <n v="6279"/>
    <n v="177"/>
    <n v="11718.9"/>
    <n v="28986.95"/>
    <n v="1.56"/>
    <n v="2.82"/>
    <n v="1.87"/>
    <n v="66.209999999999994"/>
    <n v="2.4700000000000002"/>
    <n v="147.35"/>
  </r>
  <r>
    <s v="CMP0796"/>
    <s v="Business-focused user-facing monitoring"/>
    <x v="2"/>
    <s v="Conversion"/>
    <s v="Canada"/>
    <d v="2024-08-05T00:00:00"/>
    <d v="2024-08-20T00:00:00"/>
    <n v="101373"/>
    <n v="1966"/>
    <n v="81"/>
    <n v="9180.7900000000009"/>
    <n v="22172.7"/>
    <n v="1.94"/>
    <n v="4.13"/>
    <n v="4.67"/>
    <n v="113.34"/>
    <n v="2.42"/>
    <n v="141.51"/>
  </r>
  <r>
    <s v="CMP0797"/>
    <s v="Managed cohesive solution"/>
    <x v="1"/>
    <s v="Lead Generation"/>
    <s v="Canada"/>
    <d v="2024-07-21T00:00:00"/>
    <d v="2024-08-13T00:00:00"/>
    <n v="90932"/>
    <n v="1300"/>
    <n v="112"/>
    <n v="13411.83"/>
    <n v="58143.67"/>
    <n v="1.43"/>
    <n v="8.68"/>
    <n v="10.32"/>
    <n v="119.75"/>
    <n v="4.34"/>
    <n v="333.53"/>
  </r>
  <r>
    <s v="CMP0798"/>
    <s v="Profit-focused 24/7 architecture"/>
    <x v="3"/>
    <s v="Retention"/>
    <s v="Canada"/>
    <d v="2024-03-24T00:00:00"/>
    <d v="2024-04-09T00:00:00"/>
    <n v="280728"/>
    <n v="22823"/>
    <n v="3989"/>
    <n v="3792.73"/>
    <n v="14701.19"/>
    <n v="8.1300000000000008"/>
    <n v="17.48"/>
    <n v="0.17"/>
    <n v="0.95"/>
    <n v="3.88"/>
    <n v="287.61"/>
  </r>
  <r>
    <s v="CMP0799"/>
    <s v="Decentralized zero tolerance concept"/>
    <x v="3"/>
    <s v="Lead Generation"/>
    <s v="Canada"/>
    <d v="2024-04-18T00:00:00"/>
    <d v="2024-05-24T00:00:00"/>
    <n v="422847"/>
    <n v="28542"/>
    <n v="5046"/>
    <n v="2809.33"/>
    <n v="12308.05"/>
    <n v="6.75"/>
    <n v="17.68"/>
    <n v="0.1"/>
    <n v="0.56000000000000005"/>
    <n v="4.38"/>
    <n v="338.11"/>
  </r>
  <r>
    <s v="CMP0800"/>
    <s v="Reduced user-facing synergy"/>
    <x v="1"/>
    <s v="Awareness"/>
    <s v="USA"/>
    <d v="2024-03-02T00:00:00"/>
    <d v="2024-04-01T00:00:00"/>
    <n v="343090"/>
    <n v="4906"/>
    <n v="572"/>
    <n v="13625.6"/>
    <n v="52305.81"/>
    <n v="1.43"/>
    <n v="11.66"/>
    <n v="2.78"/>
    <n v="23.82"/>
    <n v="3.84"/>
    <n v="283.88"/>
  </r>
  <r>
    <s v="CMP0801"/>
    <s v="Synchronized responsive groupware"/>
    <x v="3"/>
    <s v="Conversion"/>
    <s v="India"/>
    <d v="2024-09-05T00:00:00"/>
    <d v="2024-09-13T00:00:00"/>
    <n v="324085"/>
    <n v="15944"/>
    <n v="1867"/>
    <n v="4959.59"/>
    <n v="16687.39"/>
    <n v="4.92"/>
    <n v="11.71"/>
    <n v="0.31"/>
    <n v="2.66"/>
    <n v="3.36"/>
    <n v="236.47"/>
  </r>
  <r>
    <s v="CMP0802"/>
    <s v="Cross-group interactive Internet solution"/>
    <x v="2"/>
    <s v="Lead Generation"/>
    <s v="Australia"/>
    <d v="2024-09-07T00:00:00"/>
    <d v="2024-09-14T00:00:00"/>
    <n v="271122"/>
    <n v="4473"/>
    <n v="289"/>
    <n v="16335.86"/>
    <n v="48519.41"/>
    <n v="1.65"/>
    <n v="6.47"/>
    <n v="3.65"/>
    <n v="56.53"/>
    <n v="2.97"/>
    <n v="197.01"/>
  </r>
  <r>
    <s v="CMP0803"/>
    <s v="Assimilated 24/7 strategy"/>
    <x v="0"/>
    <s v="Conversion"/>
    <s v="India"/>
    <d v="2024-07-12T00:00:00"/>
    <d v="2024-08-18T00:00:00"/>
    <n v="73426"/>
    <n v="3061"/>
    <n v="227"/>
    <n v="16315.28"/>
    <n v="98728.54"/>
    <n v="4.17"/>
    <n v="7.44"/>
    <n v="5.33"/>
    <n v="71.87"/>
    <n v="6.05"/>
    <n v="505.13"/>
  </r>
  <r>
    <s v="CMP0804"/>
    <s v="Multi-layered demand-driven interface"/>
    <x v="3"/>
    <s v="Lead Generation"/>
    <s v="USA"/>
    <d v="2024-06-15T00:00:00"/>
    <d v="2024-06-27T00:00:00"/>
    <n v="314641"/>
    <n v="24604"/>
    <n v="3843"/>
    <n v="3502.49"/>
    <n v="9353.1299999999992"/>
    <n v="7.82"/>
    <n v="15.62"/>
    <n v="0.14000000000000001"/>
    <n v="0.91"/>
    <n v="2.67"/>
    <n v="167.04"/>
  </r>
  <r>
    <s v="CMP0805"/>
    <s v="Sharable explicit matrix"/>
    <x v="3"/>
    <s v="Retention"/>
    <s v="Canada"/>
    <d v="2024-08-14T00:00:00"/>
    <d v="2024-09-07T00:00:00"/>
    <n v="172065"/>
    <n v="16174"/>
    <n v="1842"/>
    <n v="706.19"/>
    <n v="3542.95"/>
    <n v="9.4"/>
    <n v="11.39"/>
    <n v="0.04"/>
    <n v="0.38"/>
    <n v="5.0199999999999996"/>
    <n v="401.7"/>
  </r>
  <r>
    <s v="CMP0806"/>
    <s v="Assimilated executive hierarchy"/>
    <x v="0"/>
    <s v="Lead Generation"/>
    <s v="India"/>
    <d v="2024-11-25T00:00:00"/>
    <d v="2025-01-06T00:00:00"/>
    <n v="349890"/>
    <n v="17564"/>
    <n v="1515"/>
    <n v="11176.96"/>
    <n v="54803.08"/>
    <n v="5.0199999999999996"/>
    <n v="8.6300000000000008"/>
    <n v="0.64"/>
    <n v="7.38"/>
    <n v="4.9000000000000004"/>
    <n v="390.32"/>
  </r>
  <r>
    <s v="CMP0807"/>
    <s v="Proactive contextually-based concept"/>
    <x v="0"/>
    <s v="Lead Generation"/>
    <s v="Australia"/>
    <d v="2024-08-31T00:00:00"/>
    <d v="2024-10-09T00:00:00"/>
    <n v="334077"/>
    <n v="16069"/>
    <n v="694"/>
    <n v="16404.89"/>
    <n v="46791.360000000001"/>
    <n v="4.8099999999999996"/>
    <n v="4.32"/>
    <n v="1.02"/>
    <n v="23.64"/>
    <n v="2.85"/>
    <n v="185.23"/>
  </r>
  <r>
    <s v="CMP0808"/>
    <s v="Integrated system-worthy initiative"/>
    <x v="0"/>
    <s v="Awareness"/>
    <s v="Australia"/>
    <d v="2024-10-23T00:00:00"/>
    <d v="2024-11-27T00:00:00"/>
    <n v="144237"/>
    <n v="9159"/>
    <n v="517"/>
    <n v="9116.1"/>
    <n v="52268.14"/>
    <n v="6.35"/>
    <n v="5.65"/>
    <n v="1"/>
    <n v="17.63"/>
    <n v="5.73"/>
    <n v="473.36"/>
  </r>
  <r>
    <s v="CMP0809"/>
    <s v="Optional fresh-thinking protocol"/>
    <x v="0"/>
    <s v="Conversion"/>
    <s v="Canada"/>
    <d v="2024-07-31T00:00:00"/>
    <d v="2024-08-08T00:00:00"/>
    <n v="358749"/>
    <n v="9614"/>
    <n v="881"/>
    <n v="5465.26"/>
    <n v="21678.38"/>
    <n v="2.68"/>
    <n v="9.17"/>
    <n v="0.56999999999999995"/>
    <n v="6.2"/>
    <n v="3.97"/>
    <n v="296.66000000000003"/>
  </r>
  <r>
    <s v="CMP0810"/>
    <s v="Universal homogeneous website"/>
    <x v="3"/>
    <s v="Conversion"/>
    <s v="Canada"/>
    <d v="2024-04-03T00:00:00"/>
    <d v="2024-04-26T00:00:00"/>
    <n v="184835"/>
    <n v="8409"/>
    <n v="1496"/>
    <n v="2938.01"/>
    <n v="9648.67"/>
    <n v="4.55"/>
    <n v="17.8"/>
    <n v="0.35"/>
    <n v="1.96"/>
    <n v="3.28"/>
    <n v="228.41"/>
  </r>
  <r>
    <s v="CMP0811"/>
    <s v="Exclusive client-server secured line"/>
    <x v="0"/>
    <s v="Lead Generation"/>
    <s v="UK"/>
    <d v="2024-01-30T00:00:00"/>
    <d v="2024-02-25T00:00:00"/>
    <n v="263530"/>
    <n v="13729"/>
    <n v="597"/>
    <n v="24222.47"/>
    <n v="68224.05"/>
    <n v="5.21"/>
    <n v="4.3499999999999996"/>
    <n v="1.76"/>
    <n v="40.57"/>
    <n v="2.82"/>
    <n v="181.66"/>
  </r>
  <r>
    <s v="CMP0812"/>
    <s v="Focused system-worthy encryption"/>
    <x v="1"/>
    <s v="Awareness"/>
    <s v="UK"/>
    <d v="2024-03-02T00:00:00"/>
    <d v="2024-03-12T00:00:00"/>
    <n v="124690"/>
    <n v="1870"/>
    <n v="135"/>
    <n v="10008.209999999999"/>
    <n v="57295.360000000001"/>
    <n v="1.5"/>
    <n v="7.27"/>
    <n v="5.35"/>
    <n v="74.13"/>
    <n v="5.72"/>
    <n v="472.48"/>
  </r>
  <r>
    <s v="CMP0813"/>
    <s v="Managed methodical implementation"/>
    <x v="2"/>
    <s v="Lead Generation"/>
    <s v="Australia"/>
    <d v="2024-05-17T00:00:00"/>
    <d v="2024-05-27T00:00:00"/>
    <n v="357248"/>
    <n v="7895"/>
    <n v="358"/>
    <n v="10566.32"/>
    <n v="66273.09"/>
    <n v="2.21"/>
    <n v="4.54"/>
    <n v="1.34"/>
    <n v="29.51"/>
    <n v="6.27"/>
    <n v="527.21"/>
  </r>
  <r>
    <s v="CMP0814"/>
    <s v="Phased solution-oriented protocol"/>
    <x v="4"/>
    <s v="Retention"/>
    <s v="Australia"/>
    <d v="2024-01-10T00:00:00"/>
    <d v="2024-02-03T00:00:00"/>
    <n v="263425"/>
    <n v="3608"/>
    <n v="57"/>
    <n v="10419.27"/>
    <n v="63680.58"/>
    <n v="1.37"/>
    <n v="1.6"/>
    <n v="2.89"/>
    <n v="182.79"/>
    <n v="6.11"/>
    <n v="511.18"/>
  </r>
  <r>
    <s v="CMP0815"/>
    <s v="Enhanced optimal info-mediaries"/>
    <x v="3"/>
    <s v="Awareness"/>
    <s v="USA"/>
    <d v="2024-02-12T00:00:00"/>
    <d v="2024-03-22T00:00:00"/>
    <n v="450020"/>
    <n v="32986"/>
    <n v="5228"/>
    <n v="1870.76"/>
    <n v="7165.68"/>
    <n v="7.33"/>
    <n v="15.85"/>
    <n v="0.06"/>
    <n v="0.36"/>
    <n v="3.83"/>
    <n v="283.04000000000002"/>
  </r>
  <r>
    <s v="CMP0816"/>
    <s v="Business-focused human-resource synergy"/>
    <x v="2"/>
    <s v="Lead Generation"/>
    <s v="UK"/>
    <d v="2024-10-11T00:00:00"/>
    <d v="2024-11-15T00:00:00"/>
    <n v="333346"/>
    <n v="14867"/>
    <n v="878"/>
    <n v="11063.03"/>
    <n v="43222"/>
    <n v="4.46"/>
    <n v="5.91"/>
    <n v="0.74"/>
    <n v="12.6"/>
    <n v="3.91"/>
    <n v="290.69"/>
  </r>
  <r>
    <s v="CMP0817"/>
    <s v="Networked homogeneous infrastructure"/>
    <x v="0"/>
    <s v="Awareness"/>
    <s v="Canada"/>
    <d v="2024-09-03T00:00:00"/>
    <d v="2024-09-27T00:00:00"/>
    <n v="484829"/>
    <n v="24144"/>
    <n v="1912"/>
    <n v="8347.6299999999992"/>
    <n v="18955.7"/>
    <n v="4.9800000000000004"/>
    <n v="7.92"/>
    <n v="0.35"/>
    <n v="4.37"/>
    <n v="2.27"/>
    <n v="127.08"/>
  </r>
  <r>
    <s v="CMP0818"/>
    <s v="Reduced maximized encoding"/>
    <x v="3"/>
    <s v="Conversion"/>
    <s v="Canada"/>
    <d v="2024-03-23T00:00:00"/>
    <d v="2024-05-03T00:00:00"/>
    <n v="234244"/>
    <n v="21199"/>
    <n v="2147"/>
    <n v="4283.08"/>
    <n v="13988.11"/>
    <n v="9.0500000000000007"/>
    <n v="10.130000000000001"/>
    <n v="0.2"/>
    <n v="1.99"/>
    <n v="3.27"/>
    <n v="226.59"/>
  </r>
  <r>
    <s v="CMP0819"/>
    <s v="Focused hybrid middleware"/>
    <x v="3"/>
    <s v="Awareness"/>
    <s v="UK"/>
    <d v="2024-05-23T00:00:00"/>
    <d v="2024-06-26T00:00:00"/>
    <n v="97036"/>
    <n v="6181"/>
    <n v="570"/>
    <n v="1128.43"/>
    <n v="5082.62"/>
    <n v="6.37"/>
    <n v="9.23"/>
    <n v="0.18"/>
    <n v="1.98"/>
    <n v="4.5"/>
    <n v="350.42"/>
  </r>
  <r>
    <s v="CMP0820"/>
    <s v="Multi-lateral upward-trending extranet"/>
    <x v="2"/>
    <s v="Conversion"/>
    <s v="UK"/>
    <d v="2024-06-13T00:00:00"/>
    <d v="2024-07-11T00:00:00"/>
    <n v="383011"/>
    <n v="8732"/>
    <n v="502"/>
    <n v="9790.77"/>
    <n v="30416.76"/>
    <n v="2.2799999999999998"/>
    <n v="5.76"/>
    <n v="1.1200000000000001"/>
    <n v="19.5"/>
    <n v="3.11"/>
    <n v="210.67"/>
  </r>
  <r>
    <s v="CMP0821"/>
    <s v="Multi-tiered scalable task-force"/>
    <x v="2"/>
    <s v="Retention"/>
    <s v="Australia"/>
    <d v="2024-08-31T00:00:00"/>
    <d v="2024-09-07T00:00:00"/>
    <n v="222206"/>
    <n v="3444"/>
    <n v="188"/>
    <n v="12696.65"/>
    <n v="25510.28"/>
    <n v="1.55"/>
    <n v="5.46"/>
    <n v="3.69"/>
    <n v="67.540000000000006"/>
    <n v="2.0099999999999998"/>
    <n v="100.92"/>
  </r>
  <r>
    <s v="CMP0822"/>
    <s v="Assimilated fault-tolerant capacity"/>
    <x v="0"/>
    <s v="Lead Generation"/>
    <s v="Canada"/>
    <d v="2024-02-09T00:00:00"/>
    <d v="2024-03-21T00:00:00"/>
    <n v="341394"/>
    <n v="20756"/>
    <n v="1706"/>
    <n v="20249.3"/>
    <n v="89534.13"/>
    <n v="6.08"/>
    <n v="8.2200000000000006"/>
    <n v="0.98"/>
    <n v="11.87"/>
    <n v="4.42"/>
    <n v="342.16"/>
  </r>
  <r>
    <s v="CMP0823"/>
    <s v="Operative executive implementation"/>
    <x v="0"/>
    <s v="Retention"/>
    <s v="India"/>
    <d v="2024-01-05T00:00:00"/>
    <d v="2024-01-19T00:00:00"/>
    <n v="235070"/>
    <n v="15020"/>
    <n v="940"/>
    <n v="17026.22"/>
    <n v="63684.53"/>
    <n v="6.39"/>
    <n v="6.26"/>
    <n v="1.1299999999999999"/>
    <n v="18.11"/>
    <n v="3.74"/>
    <n v="274.04000000000002"/>
  </r>
  <r>
    <s v="CMP0824"/>
    <s v="Intuitive 3rdgeneration open architecture"/>
    <x v="1"/>
    <s v="Conversion"/>
    <s v="USA"/>
    <d v="2024-07-02T00:00:00"/>
    <d v="2024-07-21T00:00:00"/>
    <n v="283086"/>
    <n v="2321"/>
    <n v="236"/>
    <n v="16134.74"/>
    <n v="81682.03"/>
    <n v="0.82"/>
    <n v="10.199999999999999"/>
    <n v="6.95"/>
    <n v="68.37"/>
    <n v="5.0599999999999996"/>
    <n v="406.25"/>
  </r>
  <r>
    <s v="CMP0825"/>
    <s v="Fundamental maximized conglomeration"/>
    <x v="0"/>
    <s v="Conversion"/>
    <s v="USA"/>
    <d v="2024-11-06T00:00:00"/>
    <d v="2024-11-26T00:00:00"/>
    <n v="172818"/>
    <n v="11094"/>
    <n v="1087"/>
    <n v="5735.92"/>
    <n v="24192.79"/>
    <n v="6.42"/>
    <n v="9.8000000000000007"/>
    <n v="0.52"/>
    <n v="5.28"/>
    <n v="4.22"/>
    <n v="321.77999999999997"/>
  </r>
  <r>
    <s v="CMP0826"/>
    <s v="Right-sized tertiary matrix"/>
    <x v="0"/>
    <s v="Lead Generation"/>
    <s v="Canada"/>
    <d v="2024-10-16T00:00:00"/>
    <d v="2024-11-30T00:00:00"/>
    <n v="108167"/>
    <n v="6468"/>
    <n v="479"/>
    <n v="14880.23"/>
    <n v="66708.570000000007"/>
    <n v="5.98"/>
    <n v="7.41"/>
    <n v="2.2999999999999998"/>
    <n v="31.07"/>
    <n v="4.4800000000000004"/>
    <n v="348.3"/>
  </r>
  <r>
    <s v="CMP0827"/>
    <s v="Grass-roots radical budgetary management"/>
    <x v="3"/>
    <s v="Lead Generation"/>
    <s v="India"/>
    <d v="2024-04-26T00:00:00"/>
    <d v="2024-06-05T00:00:00"/>
    <n v="358367"/>
    <n v="17094"/>
    <n v="1478"/>
    <n v="1668.31"/>
    <n v="7615.11"/>
    <n v="4.7699999999999996"/>
    <n v="8.65"/>
    <n v="0.1"/>
    <n v="1.1299999999999999"/>
    <n v="4.5599999999999996"/>
    <n v="356.46"/>
  </r>
  <r>
    <s v="CMP0828"/>
    <s v="Quality-focused asynchronous intranet"/>
    <x v="4"/>
    <s v="Lead Generation"/>
    <s v="India"/>
    <d v="2024-01-02T00:00:00"/>
    <d v="2024-02-05T00:00:00"/>
    <n v="413324"/>
    <n v="12234"/>
    <n v="446"/>
    <n v="11008.5"/>
    <n v="65764.320000000007"/>
    <n v="2.96"/>
    <n v="3.65"/>
    <n v="0.9"/>
    <n v="24.68"/>
    <n v="5.97"/>
    <n v="497.4"/>
  </r>
  <r>
    <s v="CMP0829"/>
    <s v="Cross-platform executive moderator"/>
    <x v="0"/>
    <s v="Conversion"/>
    <s v="Canada"/>
    <d v="2024-07-04T00:00:00"/>
    <d v="2024-08-13T00:00:00"/>
    <n v="492678"/>
    <n v="31925"/>
    <n v="1800"/>
    <n v="18603.47"/>
    <n v="76267.53"/>
    <n v="6.48"/>
    <n v="5.64"/>
    <n v="0.57999999999999996"/>
    <n v="10.34"/>
    <n v="4.0999999999999996"/>
    <n v="309.95999999999998"/>
  </r>
  <r>
    <s v="CMP0830"/>
    <s v="Organized asymmetric help-desk"/>
    <x v="0"/>
    <s v="Lead Generation"/>
    <s v="India"/>
    <d v="2024-06-20T00:00:00"/>
    <d v="2024-07-02T00:00:00"/>
    <n v="195716"/>
    <n v="12075"/>
    <n v="868"/>
    <n v="11324.84"/>
    <n v="42619.51"/>
    <n v="6.17"/>
    <n v="7.19"/>
    <n v="0.94"/>
    <n v="13.05"/>
    <n v="3.76"/>
    <n v="276.33999999999997"/>
  </r>
  <r>
    <s v="CMP0831"/>
    <s v="User-friendly 24hour help-desk"/>
    <x v="3"/>
    <s v="Awareness"/>
    <s v="USA"/>
    <d v="2024-06-08T00:00:00"/>
    <d v="2024-06-19T00:00:00"/>
    <n v="411522"/>
    <n v="26913"/>
    <n v="2352"/>
    <n v="1624.93"/>
    <n v="4452.58"/>
    <n v="6.54"/>
    <n v="8.74"/>
    <n v="0.06"/>
    <n v="0.69"/>
    <n v="2.74"/>
    <n v="174.02"/>
  </r>
  <r>
    <s v="CMP0832"/>
    <s v="Re-engineered methodical moratorium"/>
    <x v="0"/>
    <s v="Awareness"/>
    <s v="Canada"/>
    <d v="2024-05-08T00:00:00"/>
    <d v="2024-05-30T00:00:00"/>
    <n v="276465"/>
    <n v="15841"/>
    <n v="1197"/>
    <n v="17525.939999999999"/>
    <n v="61417.23"/>
    <n v="5.73"/>
    <n v="7.56"/>
    <n v="1.1100000000000001"/>
    <n v="14.64"/>
    <n v="3.5"/>
    <n v="250.44"/>
  </r>
  <r>
    <s v="CMP0833"/>
    <s v="Inverse 4thgeneration interface"/>
    <x v="0"/>
    <s v="Retention"/>
    <s v="USA"/>
    <d v="2024-02-07T00:00:00"/>
    <d v="2024-03-23T00:00:00"/>
    <n v="228678"/>
    <n v="13331"/>
    <n v="1190"/>
    <n v="15393.5"/>
    <n v="47186.41"/>
    <n v="5.83"/>
    <n v="8.93"/>
    <n v="1.1499999999999999"/>
    <n v="12.94"/>
    <n v="3.07"/>
    <n v="206.53"/>
  </r>
  <r>
    <s v="CMP0834"/>
    <s v="Monitored responsive contingency"/>
    <x v="3"/>
    <s v="Retention"/>
    <s v="India"/>
    <d v="2024-07-12T00:00:00"/>
    <d v="2024-08-08T00:00:00"/>
    <n v="377862"/>
    <n v="25241"/>
    <n v="2334"/>
    <n v="4885.37"/>
    <n v="29923.94"/>
    <n v="6.68"/>
    <n v="9.25"/>
    <n v="0.19"/>
    <n v="2.09"/>
    <n v="6.13"/>
    <n v="512.52"/>
  </r>
  <r>
    <s v="CMP0835"/>
    <s v="Reverse-engineered modular matrix"/>
    <x v="0"/>
    <s v="Lead Generation"/>
    <s v="India"/>
    <d v="2024-01-29T00:00:00"/>
    <d v="2024-03-11T00:00:00"/>
    <n v="470681"/>
    <n v="20098"/>
    <n v="1167"/>
    <n v="17523.7"/>
    <n v="40235.4"/>
    <n v="4.2699999999999996"/>
    <n v="5.81"/>
    <n v="0.87"/>
    <n v="15.02"/>
    <n v="2.2999999999999998"/>
    <n v="129.61000000000001"/>
  </r>
  <r>
    <s v="CMP0836"/>
    <s v="Cross-group secondary adapter"/>
    <x v="0"/>
    <s v="Conversion"/>
    <s v="Canada"/>
    <d v="2024-11-15T00:00:00"/>
    <d v="2024-11-22T00:00:00"/>
    <n v="260597"/>
    <n v="7505"/>
    <n v="638"/>
    <n v="9662.24"/>
    <n v="45394.09"/>
    <n v="2.88"/>
    <n v="8.51"/>
    <n v="1.29"/>
    <n v="15.14"/>
    <n v="4.7"/>
    <n v="369.81"/>
  </r>
  <r>
    <s v="CMP0837"/>
    <s v="Seamless 24/7 customer loyalty"/>
    <x v="1"/>
    <s v="Retention"/>
    <s v="Canada"/>
    <d v="2024-01-14T00:00:00"/>
    <d v="2024-02-19T00:00:00"/>
    <n v="466895"/>
    <n v="7143"/>
    <n v="667"/>
    <n v="5620.45"/>
    <n v="27704.02"/>
    <n v="1.53"/>
    <n v="9.34"/>
    <n v="0.79"/>
    <n v="8.43"/>
    <n v="4.93"/>
    <n v="392.91"/>
  </r>
  <r>
    <s v="CMP0838"/>
    <s v="Re-contextualized zero administration contingency"/>
    <x v="3"/>
    <s v="Conversion"/>
    <s v="Australia"/>
    <d v="2024-04-09T00:00:00"/>
    <d v="2024-05-22T00:00:00"/>
    <n v="150915"/>
    <n v="7017"/>
    <n v="569"/>
    <n v="3709.85"/>
    <n v="17317.54"/>
    <n v="4.6500000000000004"/>
    <n v="8.1199999999999992"/>
    <n v="0.53"/>
    <n v="6.52"/>
    <n v="4.67"/>
    <n v="366.8"/>
  </r>
  <r>
    <s v="CMP0839"/>
    <s v="Secured intermediate project"/>
    <x v="2"/>
    <s v="Conversion"/>
    <s v="UK"/>
    <d v="2024-01-23T00:00:00"/>
    <d v="2024-02-02T00:00:00"/>
    <n v="270728"/>
    <n v="7959"/>
    <n v="405"/>
    <n v="5788.85"/>
    <n v="15164.05"/>
    <n v="2.94"/>
    <n v="5.0999999999999996"/>
    <n v="0.73"/>
    <n v="14.29"/>
    <n v="2.62"/>
    <n v="161.94999999999999"/>
  </r>
  <r>
    <s v="CMP0840"/>
    <s v="Triple-buffered encompassing core"/>
    <x v="2"/>
    <s v="Conversion"/>
    <s v="Australia"/>
    <d v="2024-10-04T00:00:00"/>
    <d v="2024-10-20T00:00:00"/>
    <n v="278509"/>
    <n v="8466"/>
    <n v="445"/>
    <n v="8366.15"/>
    <n v="38705.96"/>
    <n v="3.04"/>
    <n v="5.26"/>
    <n v="0.99"/>
    <n v="18.8"/>
    <n v="4.63"/>
    <n v="362.65"/>
  </r>
  <r>
    <s v="CMP0841"/>
    <s v="Adaptive discrete info-mediaries"/>
    <x v="2"/>
    <s v="Retention"/>
    <s v="UK"/>
    <d v="2024-03-15T00:00:00"/>
    <d v="2024-03-25T00:00:00"/>
    <n v="366318"/>
    <n v="9267"/>
    <n v="355"/>
    <n v="3121.23"/>
    <n v="14479.32"/>
    <n v="2.5299999999999998"/>
    <n v="3.84"/>
    <n v="0.34"/>
    <n v="8.7899999999999991"/>
    <n v="4.6399999999999997"/>
    <n v="363.9"/>
  </r>
  <r>
    <s v="CMP0842"/>
    <s v="Monitored encompassing policy"/>
    <x v="2"/>
    <s v="Awareness"/>
    <s v="Canada"/>
    <d v="2024-06-23T00:00:00"/>
    <d v="2024-07-12T00:00:00"/>
    <n v="230258"/>
    <n v="4812"/>
    <n v="144"/>
    <n v="16627.5"/>
    <n v="92011.38"/>
    <n v="2.09"/>
    <n v="3"/>
    <n v="3.46"/>
    <n v="115.47"/>
    <n v="5.53"/>
    <n v="453.37"/>
  </r>
  <r>
    <s v="CMP0843"/>
    <s v="Open-source global migration"/>
    <x v="1"/>
    <s v="Retention"/>
    <s v="Australia"/>
    <d v="2024-08-02T00:00:00"/>
    <d v="2024-08-30T00:00:00"/>
    <n v="413024"/>
    <n v="5617"/>
    <n v="508"/>
    <n v="19409.04"/>
    <n v="92628.95"/>
    <n v="1.36"/>
    <n v="9.0500000000000007"/>
    <n v="3.46"/>
    <n v="38.21"/>
    <n v="4.7699999999999996"/>
    <n v="377.25"/>
  </r>
  <r>
    <s v="CMP0844"/>
    <s v="Open-architected system-worthy superstructure"/>
    <x v="2"/>
    <s v="Awareness"/>
    <s v="Canada"/>
    <d v="2024-04-27T00:00:00"/>
    <d v="2024-06-02T00:00:00"/>
    <n v="463763"/>
    <n v="19617"/>
    <n v="878"/>
    <n v="16799.3"/>
    <n v="81887.38"/>
    <n v="4.2300000000000004"/>
    <n v="4.4800000000000004"/>
    <n v="0.86"/>
    <n v="19.13"/>
    <n v="4.87"/>
    <n v="387.45"/>
  </r>
  <r>
    <s v="CMP0845"/>
    <s v="Customer-focused scalable paradigm"/>
    <x v="3"/>
    <s v="Lead Generation"/>
    <s v="USA"/>
    <d v="2024-04-15T00:00:00"/>
    <d v="2024-05-17T00:00:00"/>
    <n v="302049"/>
    <n v="25402"/>
    <n v="4452"/>
    <n v="1991.82"/>
    <n v="10617.13"/>
    <n v="8.41"/>
    <n v="17.53"/>
    <n v="0.08"/>
    <n v="0.45"/>
    <n v="5.33"/>
    <n v="433.04"/>
  </r>
  <r>
    <s v="CMP0846"/>
    <s v="Optional background software"/>
    <x v="2"/>
    <s v="Awareness"/>
    <s v="UK"/>
    <d v="2024-04-09T00:00:00"/>
    <d v="2024-05-23T00:00:00"/>
    <n v="55186"/>
    <n v="949"/>
    <n v="20"/>
    <n v="4727.84"/>
    <n v="15637.77"/>
    <n v="1.72"/>
    <n v="2.15"/>
    <n v="4.9800000000000004"/>
    <n v="236.39"/>
    <n v="3.31"/>
    <n v="230.76"/>
  </r>
  <r>
    <s v="CMP0847"/>
    <s v="Polarized demand-driven alliance"/>
    <x v="4"/>
    <s v="Awareness"/>
    <s v="India"/>
    <d v="2024-06-22T00:00:00"/>
    <d v="2024-08-03T00:00:00"/>
    <n v="154397"/>
    <n v="2640"/>
    <n v="55"/>
    <n v="13567.28"/>
    <n v="71021.52"/>
    <n v="1.71"/>
    <n v="2.11"/>
    <n v="5.14"/>
    <n v="246.68"/>
    <n v="5.23"/>
    <n v="423.48"/>
  </r>
  <r>
    <s v="CMP0848"/>
    <s v="User-friendly encompassing protocol"/>
    <x v="2"/>
    <s v="Lead Generation"/>
    <s v="USA"/>
    <d v="2024-03-11T00:00:00"/>
    <d v="2024-04-11T00:00:00"/>
    <n v="61268"/>
    <n v="1243"/>
    <n v="41"/>
    <n v="4517.8500000000004"/>
    <n v="25939.26"/>
    <n v="2.0299999999999998"/>
    <n v="3.31"/>
    <n v="3.63"/>
    <n v="110.19"/>
    <n v="5.74"/>
    <n v="474.15"/>
  </r>
  <r>
    <s v="CMP0849"/>
    <s v="Profound didactic standardization"/>
    <x v="0"/>
    <s v="Conversion"/>
    <s v="USA"/>
    <d v="2024-09-26T00:00:00"/>
    <d v="2024-10-30T00:00:00"/>
    <n v="209945"/>
    <n v="9069"/>
    <n v="564"/>
    <n v="12447.01"/>
    <n v="34492.15"/>
    <n v="4.32"/>
    <n v="6.22"/>
    <n v="1.37"/>
    <n v="22.07"/>
    <n v="2.77"/>
    <n v="177.11"/>
  </r>
  <r>
    <s v="CMP0850"/>
    <s v="Implemented system-worthy algorithm"/>
    <x v="0"/>
    <s v="Awareness"/>
    <s v="USA"/>
    <d v="2024-11-02T00:00:00"/>
    <d v="2024-12-06T00:00:00"/>
    <n v="118574"/>
    <n v="6735"/>
    <n v="346"/>
    <n v="12563.91"/>
    <n v="46287.31"/>
    <n v="5.68"/>
    <n v="5.15"/>
    <n v="1.87"/>
    <n v="36.31"/>
    <n v="3.68"/>
    <n v="268.41000000000003"/>
  </r>
  <r>
    <s v="CMP0851"/>
    <s v="Streamlined transitional budgetary management"/>
    <x v="2"/>
    <s v="Awareness"/>
    <s v="Australia"/>
    <d v="2024-01-28T00:00:00"/>
    <d v="2024-02-21T00:00:00"/>
    <n v="357927"/>
    <n v="7409"/>
    <n v="346"/>
    <n v="14843.82"/>
    <n v="51575.78"/>
    <n v="2.0699999999999998"/>
    <n v="4.68"/>
    <n v="2"/>
    <n v="42.9"/>
    <n v="3.47"/>
    <n v="247.46"/>
  </r>
  <r>
    <s v="CMP0852"/>
    <s v="Monitored 6thgeneration functionalities"/>
    <x v="2"/>
    <s v="Retention"/>
    <s v="USA"/>
    <d v="2024-09-17T00:00:00"/>
    <d v="2024-10-18T00:00:00"/>
    <n v="431313"/>
    <n v="7504"/>
    <n v="326"/>
    <n v="12952.53"/>
    <n v="29686.28"/>
    <n v="1.74"/>
    <n v="4.3499999999999996"/>
    <n v="1.73"/>
    <n v="39.729999999999997"/>
    <n v="2.29"/>
    <n v="129.19"/>
  </r>
  <r>
    <s v="CMP0853"/>
    <s v="Function-based web-enabled migration"/>
    <x v="3"/>
    <s v="Conversion"/>
    <s v="Canada"/>
    <d v="2024-09-10T00:00:00"/>
    <d v="2024-10-17T00:00:00"/>
    <n v="322049"/>
    <n v="21867"/>
    <n v="2453"/>
    <n v="2182.4499999999998"/>
    <n v="11185.7"/>
    <n v="6.79"/>
    <n v="11.22"/>
    <n v="0.1"/>
    <n v="0.89"/>
    <n v="5.13"/>
    <n v="412.53"/>
  </r>
  <r>
    <s v="CMP0854"/>
    <s v="Profound didactic moratorium"/>
    <x v="4"/>
    <s v="Retention"/>
    <s v="Australia"/>
    <d v="2024-07-21T00:00:00"/>
    <d v="2024-08-10T00:00:00"/>
    <n v="390649"/>
    <n v="5078"/>
    <n v="115"/>
    <n v="5037.51"/>
    <n v="29642"/>
    <n v="1.3"/>
    <n v="2.27"/>
    <n v="0.99"/>
    <n v="43.8"/>
    <n v="5.88"/>
    <n v="488.43"/>
  </r>
  <r>
    <s v="CMP0855"/>
    <s v="User-friendly client-server functionalities"/>
    <x v="4"/>
    <s v="Retention"/>
    <s v="Canada"/>
    <d v="2024-02-13T00:00:00"/>
    <d v="2024-03-09T00:00:00"/>
    <n v="349562"/>
    <n v="5627"/>
    <n v="250"/>
    <n v="5681.62"/>
    <n v="13530.3"/>
    <n v="1.61"/>
    <n v="4.45"/>
    <n v="1.01"/>
    <n v="22.73"/>
    <n v="2.38"/>
    <n v="138.13999999999999"/>
  </r>
  <r>
    <s v="CMP0856"/>
    <s v="Synergized composite initiative"/>
    <x v="1"/>
    <s v="Conversion"/>
    <s v="USA"/>
    <d v="2024-08-09T00:00:00"/>
    <d v="2024-09-11T00:00:00"/>
    <n v="356164"/>
    <n v="3098"/>
    <n v="266"/>
    <n v="9381.98"/>
    <n v="37811.07"/>
    <n v="0.87"/>
    <n v="8.59"/>
    <n v="3.03"/>
    <n v="35.270000000000003"/>
    <n v="4.03"/>
    <n v="303.02"/>
  </r>
  <r>
    <s v="CMP0857"/>
    <s v="Streamlined optimizing parallelism"/>
    <x v="4"/>
    <s v="Retention"/>
    <s v="UK"/>
    <d v="2024-07-02T00:00:00"/>
    <d v="2024-07-14T00:00:00"/>
    <n v="193140"/>
    <n v="4229"/>
    <n v="90"/>
    <n v="5422.38"/>
    <n v="26591.88"/>
    <n v="2.19"/>
    <n v="2.13"/>
    <n v="1.28"/>
    <n v="60.25"/>
    <n v="4.9000000000000004"/>
    <n v="390.41"/>
  </r>
  <r>
    <s v="CMP0858"/>
    <s v="Front-line dynamic utilization"/>
    <x v="4"/>
    <s v="Awareness"/>
    <s v="UK"/>
    <d v="2024-04-10T00:00:00"/>
    <d v="2024-05-08T00:00:00"/>
    <n v="169402"/>
    <n v="2473"/>
    <n v="43"/>
    <n v="2978.52"/>
    <n v="8641.82"/>
    <n v="1.46"/>
    <n v="1.75"/>
    <n v="1.2"/>
    <n v="69.27"/>
    <n v="2.9"/>
    <n v="190.14"/>
  </r>
  <r>
    <s v="CMP0859"/>
    <s v="Intuitive asymmetric encryption"/>
    <x v="4"/>
    <s v="Conversion"/>
    <s v="UK"/>
    <d v="2024-10-05T00:00:00"/>
    <d v="2024-10-28T00:00:00"/>
    <n v="149951"/>
    <n v="4543"/>
    <n v="226"/>
    <n v="14980.06"/>
    <n v="80678.490000000005"/>
    <n v="3.03"/>
    <n v="4.99"/>
    <n v="3.3"/>
    <n v="66.28"/>
    <n v="5.39"/>
    <n v="438.57"/>
  </r>
  <r>
    <s v="CMP0860"/>
    <s v="Customizable static encoding"/>
    <x v="0"/>
    <s v="Conversion"/>
    <s v="UK"/>
    <d v="2024-01-07T00:00:00"/>
    <d v="2024-02-13T00:00:00"/>
    <n v="481126"/>
    <n v="18715"/>
    <n v="1867"/>
    <n v="23916.3"/>
    <n v="136284.07"/>
    <n v="3.89"/>
    <n v="9.98"/>
    <n v="1.28"/>
    <n v="12.81"/>
    <n v="5.7"/>
    <n v="469.84"/>
  </r>
  <r>
    <s v="CMP0861"/>
    <s v="Open-architected contextually-based circuit"/>
    <x v="3"/>
    <s v="Lead Generation"/>
    <s v="Canada"/>
    <d v="2024-10-09T00:00:00"/>
    <d v="2024-11-14T00:00:00"/>
    <n v="169316"/>
    <n v="9075"/>
    <n v="1405"/>
    <n v="2634.97"/>
    <n v="11386.27"/>
    <n v="5.36"/>
    <n v="15.49"/>
    <n v="0.28999999999999998"/>
    <n v="1.88"/>
    <n v="4.32"/>
    <n v="332.12"/>
  </r>
  <r>
    <s v="CMP0862"/>
    <s v="Right-sized 4thgeneration attitude"/>
    <x v="1"/>
    <s v="Conversion"/>
    <s v="India"/>
    <d v="2024-08-12T00:00:00"/>
    <d v="2024-09-16T00:00:00"/>
    <n v="214141"/>
    <n v="4796"/>
    <n v="383"/>
    <n v="19070.88"/>
    <n v="73987.3"/>
    <n v="2.2400000000000002"/>
    <n v="8"/>
    <n v="3.98"/>
    <n v="49.79"/>
    <n v="3.88"/>
    <n v="287.95999999999998"/>
  </r>
  <r>
    <s v="CMP0863"/>
    <s v="Secured cohesive installation"/>
    <x v="3"/>
    <s v="Awareness"/>
    <s v="UK"/>
    <d v="2024-06-30T00:00:00"/>
    <d v="2024-07-28T00:00:00"/>
    <n v="122849"/>
    <n v="9176"/>
    <n v="851"/>
    <n v="4745.09"/>
    <n v="9696.9"/>
    <n v="7.47"/>
    <n v="9.2799999999999994"/>
    <n v="0.52"/>
    <n v="5.58"/>
    <n v="2.04"/>
    <n v="104.36"/>
  </r>
  <r>
    <s v="CMP0864"/>
    <s v="Synergized leadingedge frame"/>
    <x v="2"/>
    <s v="Retention"/>
    <s v="Canada"/>
    <d v="2024-10-27T00:00:00"/>
    <d v="2024-11-04T00:00:00"/>
    <n v="409537"/>
    <n v="15398"/>
    <n v="894"/>
    <n v="13357.78"/>
    <n v="44726.76"/>
    <n v="3.76"/>
    <n v="5.81"/>
    <n v="0.87"/>
    <n v="14.94"/>
    <n v="3.35"/>
    <n v="234.84"/>
  </r>
  <r>
    <s v="CMP0865"/>
    <s v="Seamless next generation superstructure"/>
    <x v="3"/>
    <s v="Awareness"/>
    <s v="USA"/>
    <d v="2024-11-07T00:00:00"/>
    <d v="2024-12-20T00:00:00"/>
    <n v="130578"/>
    <n v="12874"/>
    <n v="2309"/>
    <n v="3056.86"/>
    <n v="17106.669999999998"/>
    <n v="9.86"/>
    <n v="17.940000000000001"/>
    <n v="0.24"/>
    <n v="1.32"/>
    <n v="5.6"/>
    <n v="459.62"/>
  </r>
  <r>
    <s v="CMP0866"/>
    <s v="Universal static frame"/>
    <x v="1"/>
    <s v="Retention"/>
    <s v="USA"/>
    <d v="2024-08-19T00:00:00"/>
    <d v="2024-09-14T00:00:00"/>
    <n v="254805"/>
    <n v="2318"/>
    <n v="178"/>
    <n v="11596.44"/>
    <n v="40353.129999999997"/>
    <n v="0.91"/>
    <n v="7.71"/>
    <n v="5"/>
    <n v="65.150000000000006"/>
    <n v="3.48"/>
    <n v="247.98"/>
  </r>
  <r>
    <s v="CMP0867"/>
    <s v="Right-sized tertiary leverage"/>
    <x v="0"/>
    <s v="Lead Generation"/>
    <s v="India"/>
    <d v="2024-04-05T00:00:00"/>
    <d v="2024-04-24T00:00:00"/>
    <n v="403834"/>
    <n v="19020"/>
    <n v="796"/>
    <n v="18780.490000000002"/>
    <n v="78854.77"/>
    <n v="4.71"/>
    <n v="4.1900000000000004"/>
    <n v="0.99"/>
    <n v="23.59"/>
    <n v="4.2"/>
    <n v="319.88"/>
  </r>
  <r>
    <s v="CMP0868"/>
    <s v="Function-based 3rdgeneration knowledgebase"/>
    <x v="0"/>
    <s v="Retention"/>
    <s v="UK"/>
    <d v="2024-09-22T00:00:00"/>
    <d v="2024-09-29T00:00:00"/>
    <n v="157946"/>
    <n v="5417"/>
    <n v="431"/>
    <n v="6399.59"/>
    <n v="14453.73"/>
    <n v="3.43"/>
    <n v="7.96"/>
    <n v="1.18"/>
    <n v="14.85"/>
    <n v="2.2599999999999998"/>
    <n v="125.85"/>
  </r>
  <r>
    <s v="CMP0869"/>
    <s v="Self-enabling user-facing challenge"/>
    <x v="2"/>
    <s v="Conversion"/>
    <s v="Canada"/>
    <d v="2024-02-05T00:00:00"/>
    <d v="2024-03-07T00:00:00"/>
    <n v="255051"/>
    <n v="5024"/>
    <n v="128"/>
    <n v="11046.8"/>
    <n v="45867.75"/>
    <n v="1.97"/>
    <n v="2.5499999999999998"/>
    <n v="2.2000000000000002"/>
    <n v="86.3"/>
    <n v="4.1500000000000004"/>
    <n v="315.20999999999998"/>
  </r>
  <r>
    <s v="CMP0870"/>
    <s v="Persistent hybrid intranet"/>
    <x v="2"/>
    <s v="Lead Generation"/>
    <s v="USA"/>
    <d v="2024-06-07T00:00:00"/>
    <d v="2024-07-21T00:00:00"/>
    <n v="212401"/>
    <n v="5947"/>
    <n v="330"/>
    <n v="10121.700000000001"/>
    <n v="47740.95"/>
    <n v="2.8"/>
    <n v="5.55"/>
    <n v="1.7"/>
    <n v="30.67"/>
    <n v="4.72"/>
    <n v="371.67"/>
  </r>
  <r>
    <s v="CMP0871"/>
    <s v="Customer-focused 5thgeneration frame"/>
    <x v="2"/>
    <s v="Retention"/>
    <s v="UK"/>
    <d v="2024-05-06T00:00:00"/>
    <d v="2024-06-15T00:00:00"/>
    <n v="155750"/>
    <n v="2367"/>
    <n v="64"/>
    <n v="3959.55"/>
    <n v="15032.69"/>
    <n v="1.52"/>
    <n v="2.71"/>
    <n v="1.67"/>
    <n v="61.87"/>
    <n v="3.8"/>
    <n v="279.66000000000003"/>
  </r>
  <r>
    <s v="CMP0872"/>
    <s v="Public-key 6thgeneration open architecture"/>
    <x v="4"/>
    <s v="Retention"/>
    <s v="Canada"/>
    <d v="2024-08-21T00:00:00"/>
    <d v="2024-09-19T00:00:00"/>
    <n v="292585"/>
    <n v="7899"/>
    <n v="322"/>
    <n v="6098.9"/>
    <n v="36376.730000000003"/>
    <n v="2.7"/>
    <n v="4.08"/>
    <n v="0.77"/>
    <n v="18.940000000000001"/>
    <n v="5.96"/>
    <n v="496.45"/>
  </r>
  <r>
    <s v="CMP0873"/>
    <s v="Robust incremental archive"/>
    <x v="4"/>
    <s v="Retention"/>
    <s v="Australia"/>
    <d v="2024-08-09T00:00:00"/>
    <d v="2024-09-14T00:00:00"/>
    <n v="481714"/>
    <n v="15944"/>
    <n v="336"/>
    <n v="5614.19"/>
    <n v="33964.959999999999"/>
    <n v="3.31"/>
    <n v="2.11"/>
    <n v="0.35"/>
    <n v="16.71"/>
    <n v="6.05"/>
    <n v="504.98"/>
  </r>
  <r>
    <s v="CMP0874"/>
    <s v="Right-sized client-server support"/>
    <x v="1"/>
    <s v="Lead Generation"/>
    <s v="Australia"/>
    <d v="2024-05-20T00:00:00"/>
    <d v="2024-06-30T00:00:00"/>
    <n v="100087"/>
    <n v="1471"/>
    <n v="170"/>
    <n v="7835.12"/>
    <n v="46363.76"/>
    <n v="1.47"/>
    <n v="11.62"/>
    <n v="5.33"/>
    <n v="46.09"/>
    <n v="5.92"/>
    <n v="491.74"/>
  </r>
  <r>
    <s v="CMP0875"/>
    <s v="Profound empowering open architecture"/>
    <x v="4"/>
    <s v="Awareness"/>
    <s v="USA"/>
    <d v="2024-02-23T00:00:00"/>
    <d v="2024-04-02T00:00:00"/>
    <n v="308729"/>
    <n v="7008"/>
    <n v="292"/>
    <n v="4015.38"/>
    <n v="14693.46"/>
    <n v="2.27"/>
    <n v="4.17"/>
    <n v="0.56999999999999995"/>
    <n v="13.75"/>
    <n v="3.66"/>
    <n v="265.93"/>
  </r>
  <r>
    <s v="CMP0876"/>
    <s v="Optimized client-server access"/>
    <x v="4"/>
    <s v="Retention"/>
    <s v="Canada"/>
    <d v="2024-08-24T00:00:00"/>
    <d v="2024-09-24T00:00:00"/>
    <n v="136423"/>
    <n v="2537"/>
    <n v="82"/>
    <n v="8277.09"/>
    <n v="19280.490000000002"/>
    <n v="1.86"/>
    <n v="3.27"/>
    <n v="3.26"/>
    <n v="100.94"/>
    <n v="2.33"/>
    <n v="132.94"/>
  </r>
  <r>
    <s v="CMP0877"/>
    <s v="Multi-tiered holistic product"/>
    <x v="4"/>
    <s v="Retention"/>
    <s v="USA"/>
    <d v="2024-08-25T00:00:00"/>
    <d v="2024-10-02T00:00:00"/>
    <n v="257971"/>
    <n v="3353"/>
    <n v="79"/>
    <n v="11363.75"/>
    <n v="29706.69"/>
    <n v="1.3"/>
    <n v="2.38"/>
    <n v="3.39"/>
    <n v="143.84"/>
    <n v="2.61"/>
    <n v="161.41999999999999"/>
  </r>
  <r>
    <s v="CMP0878"/>
    <s v="Extended analyzing adapter"/>
    <x v="1"/>
    <s v="Awareness"/>
    <s v="India"/>
    <d v="2024-05-22T00:00:00"/>
    <d v="2024-06-08T00:00:00"/>
    <n v="337534"/>
    <n v="6480"/>
    <n v="648"/>
    <n v="11003.58"/>
    <n v="45318.74"/>
    <n v="1.92"/>
    <n v="10"/>
    <n v="1.7"/>
    <n v="16.98"/>
    <n v="4.12"/>
    <n v="311.85000000000002"/>
  </r>
  <r>
    <s v="CMP0879"/>
    <s v="Public-key mobile alliance"/>
    <x v="2"/>
    <s v="Awareness"/>
    <s v="Australia"/>
    <d v="2024-01-06T00:00:00"/>
    <d v="2024-01-30T00:00:00"/>
    <n v="102698"/>
    <n v="2084"/>
    <n v="54"/>
    <n v="14121.7"/>
    <n v="38948.22"/>
    <n v="2.0299999999999998"/>
    <n v="2.62"/>
    <n v="6.78"/>
    <n v="261.51"/>
    <n v="2.76"/>
    <n v="175.8"/>
  </r>
  <r>
    <s v="CMP0880"/>
    <s v="Progressive modular circuit"/>
    <x v="2"/>
    <s v="Retention"/>
    <s v="UK"/>
    <d v="2024-01-25T00:00:00"/>
    <d v="2024-03-05T00:00:00"/>
    <n v="143291"/>
    <n v="3080"/>
    <n v="66"/>
    <n v="13125.66"/>
    <n v="39019.300000000003"/>
    <n v="2.15"/>
    <n v="2.17"/>
    <n v="4.26"/>
    <n v="198.87"/>
    <n v="2.97"/>
    <n v="197.27"/>
  </r>
  <r>
    <s v="CMP0881"/>
    <s v="De-engineered holistic moratorium"/>
    <x v="0"/>
    <s v="Retention"/>
    <s v="UK"/>
    <d v="2024-05-07T00:00:00"/>
    <d v="2024-06-06T00:00:00"/>
    <n v="282776"/>
    <n v="7663"/>
    <n v="308"/>
    <n v="20448.189999999999"/>
    <n v="111483.82"/>
    <n v="2.71"/>
    <n v="4.03"/>
    <n v="2.67"/>
    <n v="66.39"/>
    <n v="5.45"/>
    <n v="445.2"/>
  </r>
  <r>
    <s v="CMP0882"/>
    <s v="Grass-roots heuristic contingency"/>
    <x v="2"/>
    <s v="Lead Generation"/>
    <s v="India"/>
    <d v="2024-02-02T00:00:00"/>
    <d v="2024-02-23T00:00:00"/>
    <n v="58408"/>
    <n v="1617"/>
    <n v="112"/>
    <n v="8056.75"/>
    <n v="23080.04"/>
    <n v="2.77"/>
    <n v="6.95"/>
    <n v="4.9800000000000004"/>
    <n v="71.94"/>
    <n v="2.86"/>
    <n v="186.47"/>
  </r>
  <r>
    <s v="CMP0883"/>
    <s v="Open-source encompassing Graphical User Interface"/>
    <x v="0"/>
    <s v="Lead Generation"/>
    <s v="USA"/>
    <d v="2024-04-07T00:00:00"/>
    <d v="2024-04-27T00:00:00"/>
    <n v="73075"/>
    <n v="3039"/>
    <n v="141"/>
    <n v="11542.83"/>
    <n v="52280.29"/>
    <n v="4.16"/>
    <n v="4.6500000000000004"/>
    <n v="3.8"/>
    <n v="81.86"/>
    <n v="4.53"/>
    <n v="352.92"/>
  </r>
  <r>
    <s v="CMP0884"/>
    <s v="Pre-emptive methodical task-force"/>
    <x v="3"/>
    <s v="Retention"/>
    <s v="Canada"/>
    <d v="2024-06-10T00:00:00"/>
    <d v="2024-06-17T00:00:00"/>
    <n v="113336"/>
    <n v="6108"/>
    <n v="553"/>
    <n v="1955.16"/>
    <n v="4042.25"/>
    <n v="5.39"/>
    <n v="9.06"/>
    <n v="0.32"/>
    <n v="3.54"/>
    <n v="2.0699999999999998"/>
    <n v="106.75"/>
  </r>
  <r>
    <s v="CMP0885"/>
    <s v="Total regional attitude"/>
    <x v="1"/>
    <s v="Lead Generation"/>
    <s v="Canada"/>
    <d v="2024-02-04T00:00:00"/>
    <d v="2024-02-24T00:00:00"/>
    <n v="165393"/>
    <n v="1505"/>
    <n v="161"/>
    <n v="14399.12"/>
    <n v="52706.68"/>
    <n v="0.91"/>
    <n v="10.71"/>
    <n v="9.57"/>
    <n v="89.44"/>
    <n v="3.66"/>
    <n v="266.04000000000002"/>
  </r>
  <r>
    <s v="CMP0886"/>
    <s v="Compatible uniform Local Area Network"/>
    <x v="1"/>
    <s v="Conversion"/>
    <s v="Australia"/>
    <d v="2024-10-18T00:00:00"/>
    <d v="2024-11-04T00:00:00"/>
    <n v="311921"/>
    <n v="7704"/>
    <n v="439"/>
    <n v="12578.9"/>
    <n v="81226.87"/>
    <n v="2.4700000000000002"/>
    <n v="5.71"/>
    <n v="1.63"/>
    <n v="28.65"/>
    <n v="6.46"/>
    <n v="545.74"/>
  </r>
  <r>
    <s v="CMP0887"/>
    <s v="Reverse-engineered holistic portal"/>
    <x v="4"/>
    <s v="Awareness"/>
    <s v="Australia"/>
    <d v="2024-03-09T00:00:00"/>
    <d v="2024-04-06T00:00:00"/>
    <n v="220055"/>
    <n v="8252"/>
    <n v="325"/>
    <n v="10973.76"/>
    <n v="69964.86"/>
    <n v="3.75"/>
    <n v="3.94"/>
    <n v="1.33"/>
    <n v="33.770000000000003"/>
    <n v="6.38"/>
    <n v="537.57000000000005"/>
  </r>
  <r>
    <s v="CMP0888"/>
    <s v="Switchable holistic array"/>
    <x v="2"/>
    <s v="Conversion"/>
    <s v="Canada"/>
    <d v="2024-11-23T00:00:00"/>
    <d v="2024-12-14T00:00:00"/>
    <n v="85396"/>
    <n v="2143"/>
    <n v="108"/>
    <n v="11775.55"/>
    <n v="43812.95"/>
    <n v="2.5099999999999998"/>
    <n v="5.04"/>
    <n v="5.49"/>
    <n v="109.03"/>
    <n v="3.72"/>
    <n v="272.07"/>
  </r>
  <r>
    <s v="CMP0889"/>
    <s v="User-centric didactic complexity"/>
    <x v="3"/>
    <s v="Awareness"/>
    <s v="USA"/>
    <d v="2024-05-04T00:00:00"/>
    <d v="2024-05-16T00:00:00"/>
    <n v="61121"/>
    <n v="4706"/>
    <n v="798"/>
    <n v="1889.82"/>
    <n v="10054.99"/>
    <n v="7.7"/>
    <n v="16.97"/>
    <n v="0.4"/>
    <n v="2.37"/>
    <n v="5.32"/>
    <n v="432.06"/>
  </r>
  <r>
    <s v="CMP0890"/>
    <s v="Cloned methodical adapter"/>
    <x v="0"/>
    <s v="Lead Generation"/>
    <s v="UK"/>
    <d v="2024-11-02T00:00:00"/>
    <d v="2024-12-07T00:00:00"/>
    <n v="311476"/>
    <n v="11493"/>
    <n v="564"/>
    <n v="9087.7099999999991"/>
    <n v="19725.599999999999"/>
    <n v="3.69"/>
    <n v="4.91"/>
    <n v="0.79"/>
    <n v="16.11"/>
    <n v="2.17"/>
    <n v="117.06"/>
  </r>
  <r>
    <s v="CMP0891"/>
    <s v="Phased static initiative"/>
    <x v="4"/>
    <s v="Lead Generation"/>
    <s v="UK"/>
    <d v="2024-05-27T00:00:00"/>
    <d v="2024-06-04T00:00:00"/>
    <n v="216481"/>
    <n v="6213"/>
    <n v="258"/>
    <n v="9010.91"/>
    <n v="57661.3"/>
    <n v="2.87"/>
    <n v="4.16"/>
    <n v="1.45"/>
    <n v="34.93"/>
    <n v="6.4"/>
    <n v="539.91"/>
  </r>
  <r>
    <s v="CMP0892"/>
    <s v="Multi-channeled multimedia complexity"/>
    <x v="2"/>
    <s v="Conversion"/>
    <s v="UK"/>
    <d v="2024-04-23T00:00:00"/>
    <d v="2024-06-07T00:00:00"/>
    <n v="177008"/>
    <n v="3752"/>
    <n v="85"/>
    <n v="16765.169999999998"/>
    <n v="108096.67"/>
    <n v="2.12"/>
    <n v="2.27"/>
    <n v="4.47"/>
    <n v="197.24"/>
    <n v="6.45"/>
    <n v="544.77"/>
  </r>
  <r>
    <s v="CMP0893"/>
    <s v="Business-focused foreground intranet"/>
    <x v="1"/>
    <s v="Conversion"/>
    <s v="USA"/>
    <d v="2024-01-27T00:00:00"/>
    <d v="2024-02-12T00:00:00"/>
    <n v="281924"/>
    <n v="5271"/>
    <n v="287"/>
    <n v="11866.28"/>
    <n v="74656.41"/>
    <n v="1.87"/>
    <n v="5.45"/>
    <n v="2.25"/>
    <n v="41.35"/>
    <n v="6.29"/>
    <n v="529.15"/>
  </r>
  <r>
    <s v="CMP0894"/>
    <s v="Face-to-face disintermediate forecast"/>
    <x v="2"/>
    <s v="Lead Generation"/>
    <s v="India"/>
    <d v="2024-02-10T00:00:00"/>
    <d v="2024-03-15T00:00:00"/>
    <n v="141056"/>
    <n v="4626"/>
    <n v="284"/>
    <n v="16977.189999999999"/>
    <n v="52007.85"/>
    <n v="3.28"/>
    <n v="6.16"/>
    <n v="3.67"/>
    <n v="59.78"/>
    <n v="3.06"/>
    <n v="206.34"/>
  </r>
  <r>
    <s v="CMP0895"/>
    <s v="Self-enabling next generation knowledge user"/>
    <x v="1"/>
    <s v="Conversion"/>
    <s v="USA"/>
    <d v="2024-10-22T00:00:00"/>
    <d v="2024-11-26T00:00:00"/>
    <n v="428364"/>
    <n v="4883"/>
    <n v="389"/>
    <n v="13693.62"/>
    <n v="46064.7"/>
    <n v="1.1399999999999999"/>
    <n v="7.97"/>
    <n v="2.8"/>
    <n v="35.200000000000003"/>
    <n v="3.36"/>
    <n v="236.4"/>
  </r>
  <r>
    <s v="CMP0896"/>
    <s v="Total explicit focus group"/>
    <x v="2"/>
    <s v="Conversion"/>
    <s v="Canada"/>
    <d v="2024-08-04T00:00:00"/>
    <d v="2024-09-12T00:00:00"/>
    <n v="91951"/>
    <n v="3999"/>
    <n v="151"/>
    <n v="8665.76"/>
    <n v="35687.43"/>
    <n v="4.3499999999999996"/>
    <n v="3.8"/>
    <n v="2.17"/>
    <n v="57.39"/>
    <n v="4.12"/>
    <n v="311.82"/>
  </r>
  <r>
    <s v="CMP0897"/>
    <s v="Reactive tangible migration"/>
    <x v="3"/>
    <s v="Retention"/>
    <s v="USA"/>
    <d v="2024-02-12T00:00:00"/>
    <d v="2024-03-09T00:00:00"/>
    <n v="479708"/>
    <n v="46627"/>
    <n v="5977"/>
    <n v="3928.68"/>
    <n v="15413.34"/>
    <n v="9.7200000000000006"/>
    <n v="12.82"/>
    <n v="0.08"/>
    <n v="0.66"/>
    <n v="3.92"/>
    <n v="292.33"/>
  </r>
  <r>
    <s v="CMP0898"/>
    <s v="Object-based 24hour architecture"/>
    <x v="3"/>
    <s v="Lead Generation"/>
    <s v="Australia"/>
    <d v="2024-10-14T00:00:00"/>
    <d v="2024-11-28T00:00:00"/>
    <n v="430972"/>
    <n v="21764"/>
    <n v="2568"/>
    <n v="1876.31"/>
    <n v="6144.01"/>
    <n v="5.05"/>
    <n v="11.8"/>
    <n v="0.09"/>
    <n v="0.73"/>
    <n v="3.27"/>
    <n v="227.45"/>
  </r>
  <r>
    <s v="CMP0899"/>
    <s v="Public-key multimedia function"/>
    <x v="1"/>
    <s v="Awareness"/>
    <s v="UK"/>
    <d v="2024-09-13T00:00:00"/>
    <d v="2024-10-13T00:00:00"/>
    <n v="121647"/>
    <n v="2457"/>
    <n v="156"/>
    <n v="18658.11"/>
    <n v="37667.230000000003"/>
    <n v="2.02"/>
    <n v="6.37"/>
    <n v="7.59"/>
    <n v="119.6"/>
    <n v="2.02"/>
    <n v="101.88"/>
  </r>
  <r>
    <s v="CMP0900"/>
    <s v="Operative scalable focus group"/>
    <x v="1"/>
    <s v="Retention"/>
    <s v="Canada"/>
    <d v="2024-10-28T00:00:00"/>
    <d v="2024-11-08T00:00:00"/>
    <n v="256910"/>
    <n v="6294"/>
    <n v="478"/>
    <n v="11832.82"/>
    <n v="57800"/>
    <n v="2.4500000000000002"/>
    <n v="7.61"/>
    <n v="1.88"/>
    <n v="24.75"/>
    <n v="4.88"/>
    <n v="388.47"/>
  </r>
  <r>
    <s v="CMP0901"/>
    <s v="Inverse background utilization"/>
    <x v="1"/>
    <s v="Awareness"/>
    <s v="India"/>
    <d v="2024-06-27T00:00:00"/>
    <d v="2024-08-05T00:00:00"/>
    <n v="251759"/>
    <n v="5991"/>
    <n v="367"/>
    <n v="16207.21"/>
    <n v="102217.84"/>
    <n v="2.38"/>
    <n v="6.14"/>
    <n v="2.71"/>
    <n v="44.16"/>
    <n v="6.31"/>
    <n v="530.69000000000005"/>
  </r>
  <r>
    <s v="CMP0902"/>
    <s v="Ameliorated homogeneous software"/>
    <x v="1"/>
    <s v="Conversion"/>
    <s v="India"/>
    <d v="2024-07-04T00:00:00"/>
    <d v="2024-07-12T00:00:00"/>
    <n v="391262"/>
    <n v="5712"/>
    <n v="455"/>
    <n v="7948.67"/>
    <n v="32985.11"/>
    <n v="1.46"/>
    <n v="7.97"/>
    <n v="1.39"/>
    <n v="17.47"/>
    <n v="4.1500000000000004"/>
    <n v="314.98"/>
  </r>
  <r>
    <s v="CMP0903"/>
    <s v="Synergistic empowering adapter"/>
    <x v="2"/>
    <s v="Conversion"/>
    <s v="Australia"/>
    <d v="2024-03-23T00:00:00"/>
    <d v="2024-03-30T00:00:00"/>
    <n v="288797"/>
    <n v="12504"/>
    <n v="342"/>
    <n v="6711.22"/>
    <n v="30888.65"/>
    <n v="4.33"/>
    <n v="2.74"/>
    <n v="0.54"/>
    <n v="19.62"/>
    <n v="4.5999999999999996"/>
    <n v="360.25"/>
  </r>
  <r>
    <s v="CMP0904"/>
    <s v="Phased didactic solution"/>
    <x v="0"/>
    <s v="Awareness"/>
    <s v="Canada"/>
    <d v="2024-08-04T00:00:00"/>
    <d v="2024-08-21T00:00:00"/>
    <n v="258491"/>
    <n v="13751"/>
    <n v="1353"/>
    <n v="6606.97"/>
    <n v="40267.97"/>
    <n v="5.32"/>
    <n v="9.84"/>
    <n v="0.48"/>
    <n v="4.88"/>
    <n v="6.09"/>
    <n v="509.48"/>
  </r>
  <r>
    <s v="CMP0905"/>
    <s v="Polarized optimal migration"/>
    <x v="1"/>
    <s v="Conversion"/>
    <s v="UK"/>
    <d v="2024-07-29T00:00:00"/>
    <d v="2024-08-10T00:00:00"/>
    <n v="312483"/>
    <n v="7655"/>
    <n v="735"/>
    <n v="10124.620000000001"/>
    <n v="34281"/>
    <n v="2.4500000000000002"/>
    <n v="9.61"/>
    <n v="1.32"/>
    <n v="13.77"/>
    <n v="3.39"/>
    <n v="238.59"/>
  </r>
  <r>
    <s v="CMP0906"/>
    <s v="Phased transitional capability"/>
    <x v="0"/>
    <s v="Conversion"/>
    <s v="USA"/>
    <d v="2024-03-27T00:00:00"/>
    <d v="2024-05-04T00:00:00"/>
    <n v="191044"/>
    <n v="10488"/>
    <n v="1004"/>
    <n v="12959.4"/>
    <n v="43886.38"/>
    <n v="5.49"/>
    <n v="9.58"/>
    <n v="1.24"/>
    <n v="12.91"/>
    <n v="3.39"/>
    <n v="238.65"/>
  </r>
  <r>
    <s v="CMP0907"/>
    <s v="Synchronized optimal approach"/>
    <x v="0"/>
    <s v="Awareness"/>
    <s v="India"/>
    <d v="2024-03-28T00:00:00"/>
    <d v="2024-04-15T00:00:00"/>
    <n v="455664"/>
    <n v="24104"/>
    <n v="1723"/>
    <n v="18090.419999999998"/>
    <n v="95855.53"/>
    <n v="5.29"/>
    <n v="7.15"/>
    <n v="0.75"/>
    <n v="10.5"/>
    <n v="5.3"/>
    <n v="429.87"/>
  </r>
  <r>
    <s v="CMP0908"/>
    <s v="Right-sized bi-directional flexibility"/>
    <x v="4"/>
    <s v="Lead Generation"/>
    <s v="USA"/>
    <d v="2024-04-18T00:00:00"/>
    <d v="2024-05-06T00:00:00"/>
    <n v="153819"/>
    <n v="3783"/>
    <n v="123"/>
    <n v="3877.98"/>
    <n v="17652.23"/>
    <n v="2.46"/>
    <n v="3.26"/>
    <n v="1.03"/>
    <n v="31.53"/>
    <n v="4.55"/>
    <n v="355.19"/>
  </r>
  <r>
    <s v="CMP0909"/>
    <s v="Business-focused neutral initiative"/>
    <x v="2"/>
    <s v="Awareness"/>
    <s v="USA"/>
    <d v="2024-11-16T00:00:00"/>
    <d v="2024-11-29T00:00:00"/>
    <n v="474242"/>
    <n v="17926"/>
    <n v="591"/>
    <n v="16534.099999999999"/>
    <n v="63483.77"/>
    <n v="3.78"/>
    <n v="3.3"/>
    <n v="0.92"/>
    <n v="27.98"/>
    <n v="3.84"/>
    <n v="283.95999999999998"/>
  </r>
  <r>
    <s v="CMP0910"/>
    <s v="Compatible optimizing support"/>
    <x v="2"/>
    <s v="Awareness"/>
    <s v="UK"/>
    <d v="2024-09-01T00:00:00"/>
    <d v="2024-10-09T00:00:00"/>
    <n v="94935"/>
    <n v="2496"/>
    <n v="84"/>
    <n v="8132.28"/>
    <n v="37696.44"/>
    <n v="2.63"/>
    <n v="3.38"/>
    <n v="3.26"/>
    <n v="96.81"/>
    <n v="4.6399999999999997"/>
    <n v="363.54"/>
  </r>
  <r>
    <s v="CMP0911"/>
    <s v="Sharable dedicated access"/>
    <x v="0"/>
    <s v="Awareness"/>
    <s v="India"/>
    <d v="2024-02-19T00:00:00"/>
    <d v="2024-03-10T00:00:00"/>
    <n v="189502"/>
    <n v="10441"/>
    <n v="421"/>
    <n v="16648.91"/>
    <n v="107290.32"/>
    <n v="5.51"/>
    <n v="4.04"/>
    <n v="1.59"/>
    <n v="39.549999999999997"/>
    <n v="6.44"/>
    <n v="544.42999999999995"/>
  </r>
  <r>
    <s v="CMP0912"/>
    <s v="Enterprise-wide directional middleware"/>
    <x v="3"/>
    <s v="Awareness"/>
    <s v="Canada"/>
    <d v="2024-06-21T00:00:00"/>
    <d v="2024-08-05T00:00:00"/>
    <n v="366137"/>
    <n v="26068"/>
    <n v="4593"/>
    <n v="1696.26"/>
    <n v="7101.68"/>
    <n v="7.12"/>
    <n v="17.62"/>
    <n v="7.0000000000000007E-2"/>
    <n v="0.37"/>
    <n v="4.1900000000000004"/>
    <n v="318.67"/>
  </r>
  <r>
    <s v="CMP0913"/>
    <s v="Fundamental human-resource complexity"/>
    <x v="1"/>
    <s v="Conversion"/>
    <s v="UK"/>
    <d v="2024-07-23T00:00:00"/>
    <d v="2024-08-23T00:00:00"/>
    <n v="407491"/>
    <n v="9413"/>
    <n v="1129"/>
    <n v="17069.560000000001"/>
    <n v="106419.48"/>
    <n v="2.31"/>
    <n v="12"/>
    <n v="1.81"/>
    <n v="15.12"/>
    <n v="6.23"/>
    <n v="523.45000000000005"/>
  </r>
  <r>
    <s v="CMP0914"/>
    <s v="Stand-alone optimizing concept"/>
    <x v="3"/>
    <s v="Awareness"/>
    <s v="UK"/>
    <d v="2024-03-12T00:00:00"/>
    <d v="2024-03-20T00:00:00"/>
    <n v="223148"/>
    <n v="19726"/>
    <n v="1583"/>
    <n v="4417.4399999999996"/>
    <n v="16822.22"/>
    <n v="8.84"/>
    <n v="8.0299999999999994"/>
    <n v="0.22"/>
    <n v="2.79"/>
    <n v="3.81"/>
    <n v="280.81"/>
  </r>
  <r>
    <s v="CMP0915"/>
    <s v="Multi-layered holistic process improvement"/>
    <x v="3"/>
    <s v="Awareness"/>
    <s v="Australia"/>
    <d v="2024-08-31T00:00:00"/>
    <d v="2024-10-09T00:00:00"/>
    <n v="196521"/>
    <n v="19082"/>
    <n v="2959"/>
    <n v="1618.42"/>
    <n v="6528.11"/>
    <n v="9.7100000000000009"/>
    <n v="15.51"/>
    <n v="0.08"/>
    <n v="0.55000000000000004"/>
    <n v="4.03"/>
    <n v="303.36"/>
  </r>
  <r>
    <s v="CMP0916"/>
    <s v="Networked reciprocal productivity"/>
    <x v="1"/>
    <s v="Lead Generation"/>
    <s v="India"/>
    <d v="2024-01-24T00:00:00"/>
    <d v="2024-02-20T00:00:00"/>
    <n v="384534"/>
    <n v="9344"/>
    <n v="998"/>
    <n v="4266.08"/>
    <n v="15447.16"/>
    <n v="2.4300000000000002"/>
    <n v="10.69"/>
    <n v="0.46"/>
    <n v="4.2699999999999996"/>
    <n v="3.62"/>
    <n v="262.08999999999997"/>
  </r>
  <r>
    <s v="CMP0917"/>
    <s v="Quality-focused multimedia capability"/>
    <x v="1"/>
    <s v="Lead Generation"/>
    <s v="Australia"/>
    <d v="2024-08-31T00:00:00"/>
    <d v="2024-09-13T00:00:00"/>
    <n v="304036"/>
    <n v="4499"/>
    <n v="417"/>
    <n v="5301.91"/>
    <n v="20813.3"/>
    <n v="1.48"/>
    <n v="9.2899999999999991"/>
    <n v="1.18"/>
    <n v="12.71"/>
    <n v="3.93"/>
    <n v="292.56"/>
  </r>
  <r>
    <s v="CMP0918"/>
    <s v="Horizontal stable hardware"/>
    <x v="1"/>
    <s v="Conversion"/>
    <s v="Australia"/>
    <d v="2024-09-15T00:00:00"/>
    <d v="2024-09-24T00:00:00"/>
    <n v="152276"/>
    <n v="3060"/>
    <n v="339"/>
    <n v="18019.740000000002"/>
    <n v="99683.02"/>
    <n v="2.0099999999999998"/>
    <n v="11.09"/>
    <n v="5.89"/>
    <n v="53.16"/>
    <n v="5.53"/>
    <n v="453.19"/>
  </r>
  <r>
    <s v="CMP0919"/>
    <s v="Programmable zero administration support"/>
    <x v="2"/>
    <s v="Retention"/>
    <s v="India"/>
    <d v="2024-08-16T00:00:00"/>
    <d v="2024-08-30T00:00:00"/>
    <n v="207993"/>
    <n v="8319"/>
    <n v="580"/>
    <n v="17808.29"/>
    <n v="73024.92"/>
    <n v="4"/>
    <n v="6.98"/>
    <n v="2.14"/>
    <n v="30.7"/>
    <n v="4.0999999999999996"/>
    <n v="310.06"/>
  </r>
  <r>
    <s v="CMP0920"/>
    <s v="Optional optimal open system"/>
    <x v="1"/>
    <s v="Lead Generation"/>
    <s v="USA"/>
    <d v="2024-01-15T00:00:00"/>
    <d v="2024-02-01T00:00:00"/>
    <n v="160960"/>
    <n v="1754"/>
    <n v="203"/>
    <n v="15198.54"/>
    <n v="37610.51"/>
    <n v="1.0900000000000001"/>
    <n v="11.61"/>
    <n v="8.67"/>
    <n v="74.87"/>
    <n v="2.4700000000000002"/>
    <n v="147.46"/>
  </r>
  <r>
    <s v="CMP0921"/>
    <s v="Managed next generation challenge"/>
    <x v="4"/>
    <s v="Retention"/>
    <s v="UK"/>
    <d v="2024-03-10T00:00:00"/>
    <d v="2024-04-20T00:00:00"/>
    <n v="165540"/>
    <n v="5082"/>
    <n v="194"/>
    <n v="14393.8"/>
    <n v="72223.850000000006"/>
    <n v="3.07"/>
    <n v="3.83"/>
    <n v="2.83"/>
    <n v="74.19"/>
    <n v="5.0199999999999996"/>
    <n v="401.77"/>
  </r>
  <r>
    <s v="CMP0922"/>
    <s v="Optimized next generation website"/>
    <x v="1"/>
    <s v="Awareness"/>
    <s v="UK"/>
    <d v="2024-07-12T00:00:00"/>
    <d v="2024-08-12T00:00:00"/>
    <n v="167338"/>
    <n v="3982"/>
    <n v="412"/>
    <n v="13610.87"/>
    <n v="66665.22"/>
    <n v="2.38"/>
    <n v="10.36"/>
    <n v="3.42"/>
    <n v="33.04"/>
    <n v="4.9000000000000004"/>
    <n v="389.79"/>
  </r>
  <r>
    <s v="CMP0923"/>
    <s v="Customer-focused global projection"/>
    <x v="3"/>
    <s v="Retention"/>
    <s v="USA"/>
    <d v="2024-10-30T00:00:00"/>
    <d v="2024-11-18T00:00:00"/>
    <n v="167205"/>
    <n v="9279"/>
    <n v="1012"/>
    <n v="1001.22"/>
    <n v="3535.38"/>
    <n v="5.55"/>
    <n v="10.91"/>
    <n v="0.11"/>
    <n v="0.99"/>
    <n v="3.53"/>
    <n v="253.11"/>
  </r>
  <r>
    <s v="CMP0924"/>
    <s v="Pre-emptive regional process improvement"/>
    <x v="0"/>
    <s v="Conversion"/>
    <s v="USA"/>
    <d v="2024-10-29T00:00:00"/>
    <d v="2024-12-09T00:00:00"/>
    <n v="497390"/>
    <n v="18652"/>
    <n v="1171"/>
    <n v="19738.36"/>
    <n v="67082.69"/>
    <n v="3.75"/>
    <n v="6.28"/>
    <n v="1.06"/>
    <n v="16.86"/>
    <n v="3.4"/>
    <n v="239.86"/>
  </r>
  <r>
    <s v="CMP0925"/>
    <s v="De-engineered composite protocol"/>
    <x v="2"/>
    <s v="Retention"/>
    <s v="Canada"/>
    <d v="2024-11-04T00:00:00"/>
    <d v="2024-12-18T00:00:00"/>
    <n v="217584"/>
    <n v="8289"/>
    <n v="496"/>
    <n v="17008.88"/>
    <n v="43685.32"/>
    <n v="3.81"/>
    <n v="5.99"/>
    <n v="2.0499999999999998"/>
    <n v="34.29"/>
    <n v="2.57"/>
    <n v="156.84"/>
  </r>
  <r>
    <s v="CMP0926"/>
    <s v="Horizontal solution-oriented core"/>
    <x v="2"/>
    <s v="Awareness"/>
    <s v="Canada"/>
    <d v="2024-04-22T00:00:00"/>
    <d v="2024-05-30T00:00:00"/>
    <n v="54817"/>
    <n v="1704"/>
    <n v="73"/>
    <n v="5170.51"/>
    <n v="32279.52"/>
    <n v="3.11"/>
    <n v="4.3"/>
    <n v="3.03"/>
    <n v="70.83"/>
    <n v="6.24"/>
    <n v="524.29999999999995"/>
  </r>
  <r>
    <s v="CMP0927"/>
    <s v="Visionary incremental conglomeration"/>
    <x v="1"/>
    <s v="Lead Generation"/>
    <s v="Australia"/>
    <d v="2024-11-02T00:00:00"/>
    <d v="2024-11-29T00:00:00"/>
    <n v="198579"/>
    <n v="2085"/>
    <n v="201"/>
    <n v="16820.669999999998"/>
    <n v="86851.02"/>
    <n v="1.05"/>
    <n v="9.66"/>
    <n v="8.07"/>
    <n v="83.68"/>
    <n v="5.16"/>
    <n v="416.34"/>
  </r>
  <r>
    <s v="CMP0928"/>
    <s v="Integrated object-oriented implementation"/>
    <x v="4"/>
    <s v="Awareness"/>
    <s v="UK"/>
    <d v="2024-07-11T00:00:00"/>
    <d v="2024-07-21T00:00:00"/>
    <n v="494422"/>
    <n v="15030"/>
    <n v="476"/>
    <n v="12858.59"/>
    <n v="54361.17"/>
    <n v="3.04"/>
    <n v="3.17"/>
    <n v="0.86"/>
    <n v="27.01"/>
    <n v="4.2300000000000004"/>
    <n v="322.76"/>
  </r>
  <r>
    <s v="CMP0929"/>
    <s v="Customizable even-keeled firmware"/>
    <x v="4"/>
    <s v="Lead Generation"/>
    <s v="USA"/>
    <d v="2024-04-01T00:00:00"/>
    <d v="2024-05-09T00:00:00"/>
    <n v="494632"/>
    <n v="15333"/>
    <n v="665"/>
    <n v="11255.09"/>
    <n v="25172.55"/>
    <n v="3.1"/>
    <n v="4.34"/>
    <n v="0.73"/>
    <n v="16.920000000000002"/>
    <n v="2.2400000000000002"/>
    <n v="123.65"/>
  </r>
  <r>
    <s v="CMP0930"/>
    <s v="Down-sized bi-directional analyzer"/>
    <x v="1"/>
    <s v="Conversion"/>
    <s v="USA"/>
    <d v="2024-07-19T00:00:00"/>
    <d v="2024-08-20T00:00:00"/>
    <n v="61306"/>
    <n v="1060"/>
    <n v="78"/>
    <n v="14846.38"/>
    <n v="95854.38"/>
    <n v="1.73"/>
    <n v="7.36"/>
    <n v="14.01"/>
    <n v="190.34"/>
    <n v="6.46"/>
    <n v="545.64"/>
  </r>
  <r>
    <s v="CMP0931"/>
    <s v="Synergistic well-modulated process improvement"/>
    <x v="0"/>
    <s v="Conversion"/>
    <s v="UK"/>
    <d v="2024-06-14T00:00:00"/>
    <d v="2024-07-28T00:00:00"/>
    <n v="415101"/>
    <n v="25694"/>
    <n v="2109"/>
    <n v="15960.2"/>
    <n v="38909.980000000003"/>
    <n v="6.19"/>
    <n v="8.2100000000000009"/>
    <n v="0.62"/>
    <n v="7.57"/>
    <n v="2.44"/>
    <n v="143.79"/>
  </r>
  <r>
    <s v="CMP0932"/>
    <s v="Progressive eco-centric function"/>
    <x v="0"/>
    <s v="Conversion"/>
    <s v="Canada"/>
    <d v="2024-03-15T00:00:00"/>
    <d v="2024-04-04T00:00:00"/>
    <n v="393216"/>
    <n v="12386"/>
    <n v="598"/>
    <n v="18919.11"/>
    <n v="62619.74"/>
    <n v="3.15"/>
    <n v="4.83"/>
    <n v="1.53"/>
    <n v="31.64"/>
    <n v="3.31"/>
    <n v="230.99"/>
  </r>
  <r>
    <s v="CMP0933"/>
    <s v="Self-enabling well-modulated flexibility"/>
    <x v="2"/>
    <s v="Lead Generation"/>
    <s v="India"/>
    <d v="2024-03-16T00:00:00"/>
    <d v="2024-04-16T00:00:00"/>
    <n v="239910"/>
    <n v="8828"/>
    <n v="430"/>
    <n v="13174.77"/>
    <n v="84953.27"/>
    <n v="3.68"/>
    <n v="4.88"/>
    <n v="1.49"/>
    <n v="30.64"/>
    <n v="6.45"/>
    <n v="544.82000000000005"/>
  </r>
  <r>
    <s v="CMP0934"/>
    <s v="Diverse bottom-line knowledge user"/>
    <x v="1"/>
    <s v="Lead Generation"/>
    <s v="India"/>
    <d v="2024-09-20T00:00:00"/>
    <d v="2024-10-18T00:00:00"/>
    <n v="100356"/>
    <n v="1404"/>
    <n v="116"/>
    <n v="19121.009999999998"/>
    <n v="48339.08"/>
    <n v="1.4"/>
    <n v="8.32"/>
    <n v="13.62"/>
    <n v="164.84"/>
    <n v="2.5299999999999998"/>
    <n v="152.81"/>
  </r>
  <r>
    <s v="CMP0935"/>
    <s v="Open-source reciprocal secured line"/>
    <x v="3"/>
    <s v="Retention"/>
    <s v="USA"/>
    <d v="2024-06-03T00:00:00"/>
    <d v="2024-07-18T00:00:00"/>
    <n v="378714"/>
    <n v="31584"/>
    <n v="3300"/>
    <n v="1034.6099999999999"/>
    <n v="3915.9"/>
    <n v="8.34"/>
    <n v="10.45"/>
    <n v="0.03"/>
    <n v="0.31"/>
    <n v="3.78"/>
    <n v="278.49"/>
  </r>
  <r>
    <s v="CMP0936"/>
    <s v="Mandatory 24/7 complexity"/>
    <x v="2"/>
    <s v="Retention"/>
    <s v="India"/>
    <d v="2024-08-15T00:00:00"/>
    <d v="2024-09-14T00:00:00"/>
    <n v="457754"/>
    <n v="13229"/>
    <n v="805"/>
    <n v="8731.51"/>
    <n v="42308.54"/>
    <n v="2.89"/>
    <n v="6.09"/>
    <n v="0.66"/>
    <n v="10.85"/>
    <n v="4.8499999999999996"/>
    <n v="384.55"/>
  </r>
  <r>
    <s v="CMP0937"/>
    <s v="Cross-platform dynamic attitude"/>
    <x v="0"/>
    <s v="Awareness"/>
    <s v="India"/>
    <d v="2024-10-27T00:00:00"/>
    <d v="2024-12-09T00:00:00"/>
    <n v="93325"/>
    <n v="2790"/>
    <n v="219"/>
    <n v="23169.57"/>
    <n v="69791.56"/>
    <n v="2.99"/>
    <n v="7.85"/>
    <n v="8.3000000000000007"/>
    <n v="105.8"/>
    <n v="3.01"/>
    <n v="201.22"/>
  </r>
  <r>
    <s v="CMP0938"/>
    <s v="Cloned coherent process improvement"/>
    <x v="3"/>
    <s v="Retention"/>
    <s v="UK"/>
    <d v="2024-11-26T00:00:00"/>
    <d v="2024-12-30T00:00:00"/>
    <n v="413712"/>
    <n v="35041"/>
    <n v="5585"/>
    <n v="1314.93"/>
    <n v="5494.91"/>
    <n v="8.4700000000000006"/>
    <n v="15.94"/>
    <n v="0.04"/>
    <n v="0.24"/>
    <n v="4.18"/>
    <n v="317.89"/>
  </r>
  <r>
    <s v="CMP0939"/>
    <s v="Self-enabling secondary capability"/>
    <x v="4"/>
    <s v="Lead Generation"/>
    <s v="India"/>
    <d v="2024-01-11T00:00:00"/>
    <d v="2024-02-12T00:00:00"/>
    <n v="220513"/>
    <n v="3021"/>
    <n v="141"/>
    <n v="12440.31"/>
    <n v="35231.01"/>
    <n v="1.37"/>
    <n v="4.68"/>
    <n v="4.12"/>
    <n v="88.23"/>
    <n v="2.83"/>
    <n v="183.2"/>
  </r>
  <r>
    <s v="CMP0940"/>
    <s v="Versatile well-modulated extranet"/>
    <x v="3"/>
    <s v="Retention"/>
    <s v="India"/>
    <d v="2024-04-16T00:00:00"/>
    <d v="2024-04-30T00:00:00"/>
    <n v="322053"/>
    <n v="29049"/>
    <n v="3889"/>
    <n v="4184.72"/>
    <n v="20641.77"/>
    <n v="9.02"/>
    <n v="13.39"/>
    <n v="0.14000000000000001"/>
    <n v="1.08"/>
    <n v="4.93"/>
    <n v="393.27"/>
  </r>
  <r>
    <s v="CMP0941"/>
    <s v="Organic transitional structure"/>
    <x v="2"/>
    <s v="Lead Generation"/>
    <s v="India"/>
    <d v="2024-03-23T00:00:00"/>
    <d v="2024-04-04T00:00:00"/>
    <n v="340833"/>
    <n v="9679"/>
    <n v="345"/>
    <n v="3587.15"/>
    <n v="16457.36"/>
    <n v="2.84"/>
    <n v="3.57"/>
    <n v="0.37"/>
    <n v="10.4"/>
    <n v="4.59"/>
    <n v="358.79"/>
  </r>
  <r>
    <s v="CMP0942"/>
    <s v="Switchable optimal open architecture"/>
    <x v="3"/>
    <s v="Conversion"/>
    <s v="India"/>
    <d v="2024-08-04T00:00:00"/>
    <d v="2024-08-11T00:00:00"/>
    <n v="94360"/>
    <n v="9322"/>
    <n v="1217"/>
    <n v="2136.02"/>
    <n v="9505.1200000000008"/>
    <n v="9.8800000000000008"/>
    <n v="13.06"/>
    <n v="0.23"/>
    <n v="1.76"/>
    <n v="4.45"/>
    <n v="344.99"/>
  </r>
  <r>
    <s v="CMP0943"/>
    <s v="Enhanced 24hour benchmark"/>
    <x v="2"/>
    <s v="Conversion"/>
    <s v="India"/>
    <d v="2024-09-08T00:00:00"/>
    <d v="2024-10-05T00:00:00"/>
    <n v="322337"/>
    <n v="13570"/>
    <n v="470"/>
    <n v="11011.54"/>
    <n v="28953.17"/>
    <n v="4.21"/>
    <n v="3.47"/>
    <n v="0.81"/>
    <n v="23.43"/>
    <n v="2.63"/>
    <n v="162.93"/>
  </r>
  <r>
    <s v="CMP0944"/>
    <s v="Stand-alone maximized software"/>
    <x v="3"/>
    <s v="Conversion"/>
    <s v="Australia"/>
    <d v="2024-01-19T00:00:00"/>
    <d v="2024-02-07T00:00:00"/>
    <n v="332176"/>
    <n v="23451"/>
    <n v="3489"/>
    <n v="3481.78"/>
    <n v="7664.48"/>
    <n v="7.06"/>
    <n v="14.88"/>
    <n v="0.15"/>
    <n v="1"/>
    <n v="2.2000000000000002"/>
    <n v="120.13"/>
  </r>
  <r>
    <s v="CMP0945"/>
    <s v="Open-architected client-server array"/>
    <x v="2"/>
    <s v="Conversion"/>
    <s v="USA"/>
    <d v="2024-11-14T00:00:00"/>
    <d v="2024-12-18T00:00:00"/>
    <n v="120363"/>
    <n v="3984"/>
    <n v="122"/>
    <n v="8385.98"/>
    <n v="21620.86"/>
    <n v="3.31"/>
    <n v="3.08"/>
    <n v="2.1"/>
    <n v="68.739999999999995"/>
    <n v="2.58"/>
    <n v="157.82"/>
  </r>
  <r>
    <s v="CMP0946"/>
    <s v="Organic incremental matrix"/>
    <x v="0"/>
    <s v="Conversion"/>
    <s v="UK"/>
    <d v="2024-08-05T00:00:00"/>
    <d v="2024-08-21T00:00:00"/>
    <n v="250163"/>
    <n v="12758"/>
    <n v="635"/>
    <n v="14121.35"/>
    <n v="88277.25"/>
    <n v="5.0999999999999996"/>
    <n v="4.9800000000000004"/>
    <n v="1.1100000000000001"/>
    <n v="22.24"/>
    <n v="6.25"/>
    <n v="525.13"/>
  </r>
  <r>
    <s v="CMP0947"/>
    <s v="Profit-focused context-sensitive product"/>
    <x v="3"/>
    <s v="Lead Generation"/>
    <s v="India"/>
    <d v="2024-07-09T00:00:00"/>
    <d v="2024-08-21T00:00:00"/>
    <n v="380075"/>
    <n v="31926"/>
    <n v="5730"/>
    <n v="3635.61"/>
    <n v="10422.65"/>
    <n v="8.4"/>
    <n v="17.95"/>
    <n v="0.11"/>
    <n v="0.63"/>
    <n v="2.87"/>
    <n v="186.68"/>
  </r>
  <r>
    <s v="CMP0948"/>
    <s v="Customizable tangible toolset"/>
    <x v="3"/>
    <s v="Lead Generation"/>
    <s v="Canada"/>
    <d v="2024-11-05T00:00:00"/>
    <d v="2024-11-27T00:00:00"/>
    <n v="480738"/>
    <n v="23652"/>
    <n v="4238"/>
    <n v="2451.3200000000002"/>
    <n v="5188.45"/>
    <n v="4.92"/>
    <n v="17.920000000000002"/>
    <n v="0.1"/>
    <n v="0.57999999999999996"/>
    <n v="2.12"/>
    <n v="111.66"/>
  </r>
  <r>
    <s v="CMP0949"/>
    <s v="Reduced user-facing system engine"/>
    <x v="0"/>
    <s v="Conversion"/>
    <s v="India"/>
    <d v="2024-07-04T00:00:00"/>
    <d v="2024-08-01T00:00:00"/>
    <n v="328643"/>
    <n v="9662"/>
    <n v="704"/>
    <n v="6319.19"/>
    <n v="30842.69"/>
    <n v="2.94"/>
    <n v="7.29"/>
    <n v="0.65"/>
    <n v="8.98"/>
    <n v="4.88"/>
    <n v="388.08"/>
  </r>
  <r>
    <s v="CMP0950"/>
    <s v="Managed dynamic info-mediaries"/>
    <x v="4"/>
    <s v="Lead Generation"/>
    <s v="USA"/>
    <d v="2024-02-23T00:00:00"/>
    <d v="2024-03-08T00:00:00"/>
    <n v="193469"/>
    <n v="2379"/>
    <n v="67"/>
    <n v="14609.67"/>
    <n v="54111.96"/>
    <n v="1.23"/>
    <n v="2.82"/>
    <n v="6.14"/>
    <n v="218.05"/>
    <n v="3.7"/>
    <n v="270.38"/>
  </r>
  <r>
    <s v="CMP0951"/>
    <s v="Total hybrid solution"/>
    <x v="2"/>
    <s v="Conversion"/>
    <s v="Australia"/>
    <d v="2024-05-24T00:00:00"/>
    <d v="2024-07-05T00:00:00"/>
    <n v="480620"/>
    <n v="18840"/>
    <n v="467"/>
    <n v="8233.5"/>
    <n v="37665.89"/>
    <n v="3.92"/>
    <n v="2.48"/>
    <n v="0.44"/>
    <n v="17.63"/>
    <n v="4.57"/>
    <n v="357.47"/>
  </r>
  <r>
    <s v="CMP0952"/>
    <s v="Extended interactive info-mediaries"/>
    <x v="4"/>
    <s v="Awareness"/>
    <s v="India"/>
    <d v="2024-09-29T00:00:00"/>
    <d v="2024-11-10T00:00:00"/>
    <n v="139520"/>
    <n v="2832"/>
    <n v="116"/>
    <n v="4758.41"/>
    <n v="26777.39"/>
    <n v="2.0299999999999998"/>
    <n v="4.13"/>
    <n v="1.68"/>
    <n v="41.02"/>
    <n v="5.63"/>
    <n v="462.74"/>
  </r>
  <r>
    <s v="CMP0953"/>
    <s v="Cross-platform bandwidth-monitored encryption"/>
    <x v="3"/>
    <s v="Retention"/>
    <s v="Canada"/>
    <d v="2024-03-05T00:00:00"/>
    <d v="2024-03-21T00:00:00"/>
    <n v="360541"/>
    <n v="17197"/>
    <n v="1391"/>
    <n v="2811.04"/>
    <n v="7588.99"/>
    <n v="4.7699999999999996"/>
    <n v="8.09"/>
    <n v="0.16"/>
    <n v="2.02"/>
    <n v="2.7"/>
    <n v="169.97"/>
  </r>
  <r>
    <s v="CMP0954"/>
    <s v="Cross-group hybrid complexity"/>
    <x v="1"/>
    <s v="Conversion"/>
    <s v="India"/>
    <d v="2024-08-02T00:00:00"/>
    <d v="2024-09-07T00:00:00"/>
    <n v="430328"/>
    <n v="8133"/>
    <n v="617"/>
    <n v="16440.45"/>
    <n v="83056.639999999999"/>
    <n v="1.89"/>
    <n v="7.59"/>
    <n v="2.02"/>
    <n v="26.65"/>
    <n v="5.05"/>
    <n v="405.2"/>
  </r>
  <r>
    <s v="CMP0955"/>
    <s v="Progressive explicit toolset"/>
    <x v="2"/>
    <s v="Retention"/>
    <s v="UK"/>
    <d v="2024-04-27T00:00:00"/>
    <d v="2024-05-23T00:00:00"/>
    <n v="468627"/>
    <n v="13637"/>
    <n v="467"/>
    <n v="17289.240000000002"/>
    <n v="75081.570000000007"/>
    <n v="2.91"/>
    <n v="3.43"/>
    <n v="1.27"/>
    <n v="37.020000000000003"/>
    <n v="4.34"/>
    <n v="334.27"/>
  </r>
  <r>
    <s v="CMP0956"/>
    <s v="Team-oriented demand-driven database"/>
    <x v="0"/>
    <s v="Conversion"/>
    <s v="Canada"/>
    <d v="2024-02-17T00:00:00"/>
    <d v="2024-03-05T00:00:00"/>
    <n v="454005"/>
    <n v="17025"/>
    <n v="772"/>
    <n v="6589.5"/>
    <n v="34824.11"/>
    <n v="3.75"/>
    <n v="4.54"/>
    <n v="0.39"/>
    <n v="8.5399999999999991"/>
    <n v="5.28"/>
    <n v="428.48"/>
  </r>
  <r>
    <s v="CMP0957"/>
    <s v="Progressive scalable secured line"/>
    <x v="3"/>
    <s v="Awareness"/>
    <s v="India"/>
    <d v="2024-08-05T00:00:00"/>
    <d v="2024-09-13T00:00:00"/>
    <n v="439760"/>
    <n v="25154"/>
    <n v="4351"/>
    <n v="4137.5600000000004"/>
    <n v="8474.24"/>
    <n v="5.72"/>
    <n v="17.3"/>
    <n v="0.16"/>
    <n v="0.95"/>
    <n v="2.0499999999999998"/>
    <n v="104.81"/>
  </r>
  <r>
    <s v="CMP0958"/>
    <s v="Sharable 3rdgeneration framework"/>
    <x v="2"/>
    <s v="Retention"/>
    <s v="Canada"/>
    <d v="2024-01-08T00:00:00"/>
    <d v="2024-01-27T00:00:00"/>
    <n v="320014"/>
    <n v="11392"/>
    <n v="612"/>
    <n v="10986.14"/>
    <n v="28136.74"/>
    <n v="3.56"/>
    <n v="5.38"/>
    <n v="0.96"/>
    <n v="17.95"/>
    <n v="2.56"/>
    <n v="156.11000000000001"/>
  </r>
  <r>
    <s v="CMP0959"/>
    <s v="Operative human-resource structure"/>
    <x v="0"/>
    <s v="Retention"/>
    <s v="Australia"/>
    <d v="2024-09-27T00:00:00"/>
    <d v="2024-11-11T00:00:00"/>
    <n v="443041"/>
    <n v="17189"/>
    <n v="1713"/>
    <n v="18223.48"/>
    <n v="111929.8"/>
    <n v="3.88"/>
    <n v="9.9700000000000006"/>
    <n v="1.06"/>
    <n v="10.64"/>
    <n v="6.14"/>
    <n v="514.21"/>
  </r>
  <r>
    <s v="CMP0960"/>
    <s v="Sharable multimedia project"/>
    <x v="0"/>
    <s v="Retention"/>
    <s v="USA"/>
    <d v="2024-07-06T00:00:00"/>
    <d v="2024-07-21T00:00:00"/>
    <n v="403643"/>
    <n v="25106"/>
    <n v="2154"/>
    <n v="23075.97"/>
    <n v="64304.97"/>
    <n v="6.22"/>
    <n v="8.58"/>
    <n v="0.92"/>
    <n v="10.71"/>
    <n v="2.79"/>
    <n v="178.67"/>
  </r>
  <r>
    <s v="CMP0961"/>
    <s v="Future-proofed discrete knowledge user"/>
    <x v="3"/>
    <s v="Conversion"/>
    <s v="India"/>
    <d v="2024-05-07T00:00:00"/>
    <d v="2024-06-17T00:00:00"/>
    <n v="271628"/>
    <n v="18932"/>
    <n v="1836"/>
    <n v="4863.78"/>
    <n v="17124.46"/>
    <n v="6.97"/>
    <n v="9.6999999999999993"/>
    <n v="0.26"/>
    <n v="2.65"/>
    <n v="3.52"/>
    <n v="252.08"/>
  </r>
  <r>
    <s v="CMP0962"/>
    <s v="Horizontal maximized intranet"/>
    <x v="0"/>
    <s v="Conversion"/>
    <s v="UK"/>
    <d v="2024-04-21T00:00:00"/>
    <d v="2024-05-17T00:00:00"/>
    <n v="303296"/>
    <n v="11130"/>
    <n v="587"/>
    <n v="19760.509999999998"/>
    <n v="90103.75"/>
    <n v="3.67"/>
    <n v="5.28"/>
    <n v="1.78"/>
    <n v="33.659999999999997"/>
    <n v="4.5599999999999996"/>
    <n v="355.98"/>
  </r>
  <r>
    <s v="CMP0963"/>
    <s v="Configurable full-range support"/>
    <x v="3"/>
    <s v="Awareness"/>
    <s v="Canada"/>
    <d v="2024-06-01T00:00:00"/>
    <d v="2024-06-30T00:00:00"/>
    <n v="373878"/>
    <n v="33985"/>
    <n v="2912"/>
    <n v="526.51"/>
    <n v="2143.73"/>
    <n v="9.09"/>
    <n v="8.57"/>
    <n v="0.02"/>
    <n v="0.18"/>
    <n v="4.07"/>
    <n v="307.16000000000003"/>
  </r>
  <r>
    <s v="CMP0964"/>
    <s v="Down-sized background utilization"/>
    <x v="0"/>
    <s v="Awareness"/>
    <s v="UK"/>
    <d v="2024-02-13T00:00:00"/>
    <d v="2024-03-24T00:00:00"/>
    <n v="428763"/>
    <n v="13891"/>
    <n v="851"/>
    <n v="7026.76"/>
    <n v="29612.22"/>
    <n v="3.24"/>
    <n v="6.13"/>
    <n v="0.51"/>
    <n v="8.26"/>
    <n v="4.21"/>
    <n v="321.42"/>
  </r>
  <r>
    <s v="CMP0965"/>
    <s v="Digitized web-enabled secured line"/>
    <x v="3"/>
    <s v="Lead Generation"/>
    <s v="Canada"/>
    <d v="2024-08-28T00:00:00"/>
    <d v="2024-09-29T00:00:00"/>
    <n v="114929"/>
    <n v="10895"/>
    <n v="879"/>
    <n v="3962.51"/>
    <n v="12385.25"/>
    <n v="9.48"/>
    <n v="8.07"/>
    <n v="0.36"/>
    <n v="4.51"/>
    <n v="3.13"/>
    <n v="212.56"/>
  </r>
  <r>
    <s v="CMP0966"/>
    <s v="Virtual global data-warehouse"/>
    <x v="4"/>
    <s v="Conversion"/>
    <s v="UK"/>
    <d v="2024-08-12T00:00:00"/>
    <d v="2024-08-29T00:00:00"/>
    <n v="274574"/>
    <n v="9665"/>
    <n v="326"/>
    <n v="5868.52"/>
    <n v="37864.639999999999"/>
    <n v="3.52"/>
    <n v="3.38"/>
    <n v="0.61"/>
    <n v="18"/>
    <n v="6.45"/>
    <n v="545.22"/>
  </r>
  <r>
    <s v="CMP0967"/>
    <s v="Adaptive dedicated implementation"/>
    <x v="2"/>
    <s v="Conversion"/>
    <s v="Canada"/>
    <d v="2024-01-21T00:00:00"/>
    <d v="2024-02-05T00:00:00"/>
    <n v="53046"/>
    <n v="1368"/>
    <n v="86"/>
    <n v="5976.97"/>
    <n v="17052.61"/>
    <n v="2.58"/>
    <n v="6.35"/>
    <n v="4.37"/>
    <n v="69.5"/>
    <n v="2.85"/>
    <n v="185.31"/>
  </r>
  <r>
    <s v="CMP0968"/>
    <s v="Synergized even-keeled Local Area Network"/>
    <x v="1"/>
    <s v="Retention"/>
    <s v="UK"/>
    <d v="2024-05-16T00:00:00"/>
    <d v="2024-05-30T00:00:00"/>
    <n v="66570"/>
    <n v="712"/>
    <n v="45"/>
    <n v="11668.72"/>
    <n v="58268.84"/>
    <n v="1.07"/>
    <n v="6.39"/>
    <n v="16.39"/>
    <n v="259.3"/>
    <n v="4.99"/>
    <n v="399.36"/>
  </r>
  <r>
    <s v="CMP0969"/>
    <s v="Centralized content-based emulation"/>
    <x v="1"/>
    <s v="Retention"/>
    <s v="Australia"/>
    <d v="2024-07-23T00:00:00"/>
    <d v="2024-08-31T00:00:00"/>
    <n v="309820"/>
    <n v="6692"/>
    <n v="669"/>
    <n v="9198.2000000000007"/>
    <n v="50036.07"/>
    <n v="2.16"/>
    <n v="10"/>
    <n v="1.37"/>
    <n v="13.75"/>
    <n v="5.44"/>
    <n v="443.98"/>
  </r>
  <r>
    <s v="CMP0970"/>
    <s v="Face-to-face even-keeled concept"/>
    <x v="1"/>
    <s v="Lead Generation"/>
    <s v="India"/>
    <d v="2024-05-01T00:00:00"/>
    <d v="2024-05-11T00:00:00"/>
    <n v="106559"/>
    <n v="2291"/>
    <n v="134"/>
    <n v="9505.93"/>
    <n v="19595.72"/>
    <n v="2.15"/>
    <n v="5.88"/>
    <n v="4.1500000000000004"/>
    <n v="70.94"/>
    <n v="2.06"/>
    <n v="106.14"/>
  </r>
  <r>
    <s v="CMP0971"/>
    <s v="Programmable national data-warehouse"/>
    <x v="4"/>
    <s v="Retention"/>
    <s v="Australia"/>
    <d v="2024-08-07T00:00:00"/>
    <d v="2024-08-29T00:00:00"/>
    <n v="436626"/>
    <n v="5326"/>
    <n v="169"/>
    <n v="6027.79"/>
    <n v="14296.51"/>
    <n v="1.22"/>
    <n v="3.18"/>
    <n v="1.1299999999999999"/>
    <n v="35.67"/>
    <n v="2.37"/>
    <n v="137.18"/>
  </r>
  <r>
    <s v="CMP0972"/>
    <s v="Fully-configurable mission-critical approach"/>
    <x v="3"/>
    <s v="Lead Generation"/>
    <s v="Australia"/>
    <d v="2024-05-06T00:00:00"/>
    <d v="2024-06-09T00:00:00"/>
    <n v="147968"/>
    <n v="8138"/>
    <n v="1275"/>
    <n v="4388.75"/>
    <n v="28413.46"/>
    <n v="5.5"/>
    <n v="15.67"/>
    <n v="0.54"/>
    <n v="3.44"/>
    <n v="6.47"/>
    <n v="547.41999999999996"/>
  </r>
  <r>
    <s v="CMP0973"/>
    <s v="Synergized regional array"/>
    <x v="2"/>
    <s v="Retention"/>
    <s v="India"/>
    <d v="2024-11-18T00:00:00"/>
    <d v="2024-12-04T00:00:00"/>
    <n v="417601"/>
    <n v="15409"/>
    <n v="779"/>
    <n v="5830.03"/>
    <n v="34087.74"/>
    <n v="3.69"/>
    <n v="5.0599999999999996"/>
    <n v="0.38"/>
    <n v="7.48"/>
    <n v="5.85"/>
    <n v="484.69"/>
  </r>
  <r>
    <s v="CMP0974"/>
    <s v="Operative solution-oriented monitoring"/>
    <x v="2"/>
    <s v="Awareness"/>
    <s v="USA"/>
    <d v="2024-11-11T00:00:00"/>
    <d v="2024-11-30T00:00:00"/>
    <n v="260387"/>
    <n v="4218"/>
    <n v="293"/>
    <n v="16936.47"/>
    <n v="66363.240000000005"/>
    <n v="1.62"/>
    <n v="6.95"/>
    <n v="4.0199999999999996"/>
    <n v="57.8"/>
    <n v="3.92"/>
    <n v="291.83999999999997"/>
  </r>
  <r>
    <s v="CMP0975"/>
    <s v="Expanded asynchronous complexity"/>
    <x v="0"/>
    <s v="Awareness"/>
    <s v="Canada"/>
    <d v="2024-08-06T00:00:00"/>
    <d v="2024-09-12T00:00:00"/>
    <n v="263541"/>
    <n v="12122"/>
    <n v="994"/>
    <n v="24602.49"/>
    <n v="73757.98"/>
    <n v="4.5999999999999996"/>
    <n v="8.1999999999999993"/>
    <n v="2.0299999999999998"/>
    <n v="24.75"/>
    <n v="3"/>
    <n v="199.8"/>
  </r>
  <r>
    <s v="CMP0976"/>
    <s v="Integrated mission-critical Graphical User Interface"/>
    <x v="0"/>
    <s v="Retention"/>
    <s v="India"/>
    <d v="2024-05-06T00:00:00"/>
    <d v="2024-06-02T00:00:00"/>
    <n v="209535"/>
    <n v="6160"/>
    <n v="380"/>
    <n v="23859.97"/>
    <n v="124122.79"/>
    <n v="2.94"/>
    <n v="6.18"/>
    <n v="3.87"/>
    <n v="62.79"/>
    <n v="5.2"/>
    <n v="420.21"/>
  </r>
  <r>
    <s v="CMP0977"/>
    <s v="Cross-platform tertiary benchmark"/>
    <x v="0"/>
    <s v="Lead Generation"/>
    <s v="India"/>
    <d v="2024-11-06T00:00:00"/>
    <d v="2024-11-19T00:00:00"/>
    <n v="50280"/>
    <n v="1362"/>
    <n v="115"/>
    <n v="9239.5499999999993"/>
    <n v="38106.32"/>
    <n v="2.71"/>
    <n v="8.4700000000000006"/>
    <n v="6.78"/>
    <n v="80.34"/>
    <n v="4.12"/>
    <n v="312.43"/>
  </r>
  <r>
    <s v="CMP0978"/>
    <s v="Open-architected regional structure"/>
    <x v="1"/>
    <s v="Lead Generation"/>
    <s v="UK"/>
    <d v="2024-10-09T00:00:00"/>
    <d v="2024-10-24T00:00:00"/>
    <n v="307575"/>
    <n v="4367"/>
    <n v="311"/>
    <n v="5550.2"/>
    <n v="11441.61"/>
    <n v="1.42"/>
    <n v="7.13"/>
    <n v="1.27"/>
    <n v="17.850000000000001"/>
    <n v="2.06"/>
    <n v="106.15"/>
  </r>
  <r>
    <s v="CMP0979"/>
    <s v="Enterprise-wide impactful firmware"/>
    <x v="4"/>
    <s v="Conversion"/>
    <s v="UK"/>
    <d v="2024-04-17T00:00:00"/>
    <d v="2024-05-31T00:00:00"/>
    <n v="439510"/>
    <n v="14152"/>
    <n v="474"/>
    <n v="7144.9"/>
    <n v="35196.620000000003"/>
    <n v="3.22"/>
    <n v="3.35"/>
    <n v="0.5"/>
    <n v="15.07"/>
    <n v="4.93"/>
    <n v="392.61"/>
  </r>
  <r>
    <s v="CMP0980"/>
    <s v="Implemented well-modulated moratorium"/>
    <x v="1"/>
    <s v="Awareness"/>
    <s v="India"/>
    <d v="2024-04-07T00:00:00"/>
    <d v="2024-04-26T00:00:00"/>
    <n v="118411"/>
    <n v="2214"/>
    <n v="203"/>
    <n v="4656.62"/>
    <n v="29604.400000000001"/>
    <n v="1.87"/>
    <n v="9.2100000000000009"/>
    <n v="2.1"/>
    <n v="22.94"/>
    <n v="6.36"/>
    <n v="535.75"/>
  </r>
  <r>
    <s v="CMP0981"/>
    <s v="Proactive dynamic adapter"/>
    <x v="1"/>
    <s v="Awareness"/>
    <s v="India"/>
    <d v="2024-09-30T00:00:00"/>
    <d v="2024-10-16T00:00:00"/>
    <n v="336564"/>
    <n v="6226"/>
    <n v="442"/>
    <n v="11587.18"/>
    <n v="62854.03"/>
    <n v="1.85"/>
    <n v="7.11"/>
    <n v="1.86"/>
    <n v="26.22"/>
    <n v="5.42"/>
    <n v="442.44"/>
  </r>
  <r>
    <s v="CMP0982"/>
    <s v="Sharable explicit system engine"/>
    <x v="0"/>
    <s v="Lead Generation"/>
    <s v="USA"/>
    <d v="2024-10-13T00:00:00"/>
    <d v="2024-11-11T00:00:00"/>
    <n v="269263"/>
    <n v="12655"/>
    <n v="698"/>
    <n v="22541.51"/>
    <n v="131653.07"/>
    <n v="4.7"/>
    <n v="5.52"/>
    <n v="1.78"/>
    <n v="32.29"/>
    <n v="5.84"/>
    <n v="484.05"/>
  </r>
  <r>
    <s v="CMP0983"/>
    <s v="Profit-focused system-worthy Graphical User Interface"/>
    <x v="4"/>
    <s v="Retention"/>
    <s v="India"/>
    <d v="2024-01-12T00:00:00"/>
    <d v="2024-01-29T00:00:00"/>
    <n v="278655"/>
    <n v="3845"/>
    <n v="114"/>
    <n v="14141.65"/>
    <n v="60348.25"/>
    <n v="1.38"/>
    <n v="2.97"/>
    <n v="3.68"/>
    <n v="124.05"/>
    <n v="4.2699999999999996"/>
    <n v="326.74"/>
  </r>
  <r>
    <s v="CMP0984"/>
    <s v="Digitized dynamic structure"/>
    <x v="3"/>
    <s v="Conversion"/>
    <s v="USA"/>
    <d v="2024-07-22T00:00:00"/>
    <d v="2024-08-29T00:00:00"/>
    <n v="201863"/>
    <n v="8619"/>
    <n v="1177"/>
    <n v="4074.76"/>
    <n v="20871.39"/>
    <n v="4.2699999999999996"/>
    <n v="13.66"/>
    <n v="0.47"/>
    <n v="3.46"/>
    <n v="5.12"/>
    <n v="412.21"/>
  </r>
  <r>
    <s v="CMP0985"/>
    <s v="Configurable interactive instruction set"/>
    <x v="3"/>
    <s v="Awareness"/>
    <s v="USA"/>
    <d v="2024-05-19T00:00:00"/>
    <d v="2024-06-08T00:00:00"/>
    <n v="279504"/>
    <n v="23757"/>
    <n v="2812"/>
    <n v="4007.17"/>
    <n v="15242.55"/>
    <n v="8.5"/>
    <n v="11.84"/>
    <n v="0.17"/>
    <n v="1.43"/>
    <n v="3.8"/>
    <n v="280.38"/>
  </r>
  <r>
    <s v="CMP0986"/>
    <s v="Reverse-engineered zero-defect approach"/>
    <x v="2"/>
    <s v="Awareness"/>
    <s v="USA"/>
    <d v="2024-08-21T00:00:00"/>
    <d v="2024-09-29T00:00:00"/>
    <n v="349839"/>
    <n v="7521"/>
    <n v="412"/>
    <n v="16187.33"/>
    <n v="89967.74"/>
    <n v="2.15"/>
    <n v="5.48"/>
    <n v="2.15"/>
    <n v="39.29"/>
    <n v="5.56"/>
    <n v="455.79"/>
  </r>
  <r>
    <s v="CMP0987"/>
    <s v="Vision-oriented impactful frame"/>
    <x v="3"/>
    <s v="Conversion"/>
    <s v="UK"/>
    <d v="2024-01-24T00:00:00"/>
    <d v="2024-03-05T00:00:00"/>
    <n v="496942"/>
    <n v="26437"/>
    <n v="3986"/>
    <n v="2984.68"/>
    <n v="8267.5400000000009"/>
    <n v="5.32"/>
    <n v="15.08"/>
    <n v="0.11"/>
    <n v="0.75"/>
    <n v="2.77"/>
    <n v="177"/>
  </r>
  <r>
    <s v="CMP0988"/>
    <s v="Open-source interactive workforce"/>
    <x v="2"/>
    <s v="Conversion"/>
    <s v="India"/>
    <d v="2024-01-27T00:00:00"/>
    <d v="2024-02-18T00:00:00"/>
    <n v="385342"/>
    <n v="7475"/>
    <n v="479"/>
    <n v="16908.72"/>
    <n v="54394.62"/>
    <n v="1.94"/>
    <n v="6.42"/>
    <n v="2.2599999999999998"/>
    <n v="35.299999999999997"/>
    <n v="3.22"/>
    <n v="221.7"/>
  </r>
  <r>
    <s v="CMP0989"/>
    <s v="Seamless directional instruction set"/>
    <x v="2"/>
    <s v="Awareness"/>
    <s v="India"/>
    <d v="2024-10-08T00:00:00"/>
    <d v="2024-10-31T00:00:00"/>
    <n v="390077"/>
    <n v="9907"/>
    <n v="498"/>
    <n v="8536.65"/>
    <n v="20271.189999999999"/>
    <n v="2.54"/>
    <n v="5.03"/>
    <n v="0.86"/>
    <n v="17.14"/>
    <n v="2.37"/>
    <n v="137.46"/>
  </r>
  <r>
    <s v="CMP0990"/>
    <s v="Networked contextually-based Internet solution"/>
    <x v="2"/>
    <s v="Retention"/>
    <s v="Australia"/>
    <d v="2024-04-22T00:00:00"/>
    <d v="2024-05-16T00:00:00"/>
    <n v="204610"/>
    <n v="5053"/>
    <n v="115"/>
    <n v="15238.83"/>
    <n v="86978.559999999998"/>
    <n v="2.4700000000000002"/>
    <n v="2.29"/>
    <n v="3.02"/>
    <n v="132.51"/>
    <n v="5.71"/>
    <n v="470.77"/>
  </r>
  <r>
    <s v="CMP0991"/>
    <s v="Decentralized 4thgeneration structure"/>
    <x v="2"/>
    <s v="Conversion"/>
    <s v="India"/>
    <d v="2024-07-14T00:00:00"/>
    <d v="2024-08-06T00:00:00"/>
    <n v="331746"/>
    <n v="11511"/>
    <n v="729"/>
    <n v="17085.25"/>
    <n v="79013.740000000005"/>
    <n v="3.47"/>
    <n v="6.34"/>
    <n v="1.48"/>
    <n v="23.44"/>
    <n v="4.62"/>
    <n v="362.47"/>
  </r>
  <r>
    <s v="CMP0992"/>
    <s v="Open-source didactic application"/>
    <x v="3"/>
    <s v="Lead Generation"/>
    <s v="Canada"/>
    <d v="2024-07-21T00:00:00"/>
    <d v="2024-08-06T00:00:00"/>
    <n v="165678"/>
    <n v="9857"/>
    <n v="989"/>
    <n v="3334.1"/>
    <n v="19544.48"/>
    <n v="5.95"/>
    <n v="10.039999999999999"/>
    <n v="0.34"/>
    <n v="3.37"/>
    <n v="5.86"/>
    <n v="486.2"/>
  </r>
  <r>
    <s v="CMP0993"/>
    <s v="Stand-alone context-sensitive groupware"/>
    <x v="1"/>
    <s v="Lead Generation"/>
    <s v="Canada"/>
    <d v="2024-03-31T00:00:00"/>
    <d v="2024-04-19T00:00:00"/>
    <n v="243273"/>
    <n v="2554"/>
    <n v="213"/>
    <n v="11935.38"/>
    <n v="48544.24"/>
    <n v="1.05"/>
    <n v="8.35"/>
    <n v="4.67"/>
    <n v="56.03"/>
    <n v="4.07"/>
    <n v="306.73"/>
  </r>
  <r>
    <s v="CMP0994"/>
    <s v="Monitored dynamic matrix"/>
    <x v="3"/>
    <s v="Retention"/>
    <s v="USA"/>
    <d v="2024-11-07T00:00:00"/>
    <d v="2024-11-26T00:00:00"/>
    <n v="389510"/>
    <n v="22163"/>
    <n v="2460"/>
    <n v="4483.6400000000003"/>
    <n v="25461.45"/>
    <n v="5.69"/>
    <n v="11.1"/>
    <n v="0.2"/>
    <n v="1.82"/>
    <n v="5.68"/>
    <n v="467.87"/>
  </r>
  <r>
    <s v="CMP0995"/>
    <s v="Inverse value-added moderator"/>
    <x v="0"/>
    <s v="Lead Generation"/>
    <s v="India"/>
    <d v="2024-09-26T00:00:00"/>
    <d v="2024-10-11T00:00:00"/>
    <n v="273553"/>
    <n v="9519"/>
    <n v="899"/>
    <n v="24407.71"/>
    <n v="59824.57"/>
    <n v="3.48"/>
    <n v="9.4499999999999993"/>
    <n v="2.56"/>
    <n v="27.15"/>
    <n v="2.4500000000000002"/>
    <n v="145.11000000000001"/>
  </r>
  <r>
    <s v="CMP0996"/>
    <s v="Vision-oriented object-oriented leverage"/>
    <x v="0"/>
    <s v="Awareness"/>
    <s v="Canada"/>
    <d v="2024-01-23T00:00:00"/>
    <d v="2024-02-07T00:00:00"/>
    <n v="251321"/>
    <n v="6484"/>
    <n v="580"/>
    <n v="20268.919999999998"/>
    <n v="99321.14"/>
    <n v="2.58"/>
    <n v="8.9600000000000009"/>
    <n v="3.13"/>
    <n v="34.950000000000003"/>
    <n v="4.9000000000000004"/>
    <n v="390.02"/>
  </r>
  <r>
    <s v="CMP0997"/>
    <s v="Multi-lateral explicit conglomeration"/>
    <x v="2"/>
    <s v="Awareness"/>
    <s v="UK"/>
    <d v="2024-02-24T00:00:00"/>
    <d v="2024-04-05T00:00:00"/>
    <n v="124782"/>
    <n v="5390"/>
    <n v="269"/>
    <n v="14886.01"/>
    <n v="30401.439999999999"/>
    <n v="4.32"/>
    <n v="5"/>
    <n v="2.76"/>
    <n v="55.34"/>
    <n v="2.04"/>
    <n v="104.23"/>
  </r>
  <r>
    <s v="CMP0998"/>
    <s v="Reverse-engineered foreground focus group"/>
    <x v="4"/>
    <s v="Awareness"/>
    <s v="USA"/>
    <d v="2024-06-18T00:00:00"/>
    <d v="2024-07-25T00:00:00"/>
    <n v="122996"/>
    <n v="3013"/>
    <n v="104"/>
    <n v="8054.08"/>
    <n v="22021.06"/>
    <n v="2.4500000000000002"/>
    <n v="3.47"/>
    <n v="2.67"/>
    <n v="77.44"/>
    <n v="2.73"/>
    <n v="173.41"/>
  </r>
  <r>
    <s v="CMP0999"/>
    <s v="Upgradable local workforce"/>
    <x v="2"/>
    <s v="Lead Generation"/>
    <s v="India"/>
    <d v="2024-02-22T00:00:00"/>
    <d v="2024-04-03T00:00:00"/>
    <n v="334964"/>
    <n v="11991"/>
    <n v="616"/>
    <n v="4846.13"/>
    <n v="27681.88"/>
    <n v="3.58"/>
    <n v="5.14"/>
    <n v="0.4"/>
    <n v="7.87"/>
    <n v="5.71"/>
    <n v="471.22"/>
  </r>
  <r>
    <s v="CMP1000"/>
    <s v="Cloned bi-directional alliance"/>
    <x v="4"/>
    <s v="Awareness"/>
    <s v="Australia"/>
    <d v="2024-07-16T00:00:00"/>
    <d v="2024-08-01T00:00:00"/>
    <n v="488558"/>
    <n v="11139"/>
    <n v="167"/>
    <n v="5303.91"/>
    <n v="16018.01"/>
    <n v="2.2799999999999998"/>
    <n v="1.5"/>
    <n v="0.48"/>
    <n v="31.76"/>
    <n v="3.02"/>
    <n v="202"/>
  </r>
  <r>
    <s v="CMP1001"/>
    <s v="Vision-oriented multi-state secured line"/>
    <x v="4"/>
    <s v="Conversion"/>
    <s v="USA"/>
    <d v="2024-03-27T00:00:00"/>
    <d v="2024-04-10T00:00:00"/>
    <n v="408831"/>
    <n v="8994"/>
    <n v="412"/>
    <n v="12784.81"/>
    <n v="32036.68"/>
    <n v="2.2000000000000002"/>
    <n v="4.59"/>
    <n v="1.42"/>
    <n v="31.03"/>
    <n v="2.5099999999999998"/>
    <n v="150.58000000000001"/>
  </r>
  <r>
    <s v="CMP1002"/>
    <s v="Realigned cohesive customer loyalty"/>
    <x v="2"/>
    <s v="Awareness"/>
    <s v="UK"/>
    <d v="2024-02-13T00:00:00"/>
    <d v="2024-02-22T00:00:00"/>
    <n v="237332"/>
    <n v="4105"/>
    <n v="150"/>
    <n v="8407.4"/>
    <n v="51799.34"/>
    <n v="1.73"/>
    <n v="3.67"/>
    <n v="2.0499999999999998"/>
    <n v="56.05"/>
    <n v="6.16"/>
    <n v="516.12"/>
  </r>
  <r>
    <s v="CMP1003"/>
    <s v="Reduced discrete strategy"/>
    <x v="3"/>
    <s v="Lead Generation"/>
    <s v="USA"/>
    <d v="2024-06-03T00:00:00"/>
    <d v="2024-06-28T00:00:00"/>
    <n v="274724"/>
    <n v="19725"/>
    <n v="2761"/>
    <n v="3557.45"/>
    <n v="9519.7000000000007"/>
    <n v="7.18"/>
    <n v="14"/>
    <n v="0.18"/>
    <n v="1.29"/>
    <n v="2.68"/>
    <n v="167.6"/>
  </r>
  <r>
    <s v="CMP1004"/>
    <s v="Public-key methodical functionalities"/>
    <x v="4"/>
    <s v="Awareness"/>
    <s v="UK"/>
    <d v="2024-02-09T00:00:00"/>
    <d v="2024-02-16T00:00:00"/>
    <n v="311751"/>
    <n v="9103"/>
    <n v="434"/>
    <n v="12633.99"/>
    <n v="65707.87"/>
    <n v="2.92"/>
    <n v="4.7699999999999996"/>
    <n v="1.39"/>
    <n v="29.11"/>
    <n v="5.2"/>
    <n v="420.09"/>
  </r>
  <r>
    <s v="CMP1005"/>
    <s v="Progressive even-keeled orchestration"/>
    <x v="2"/>
    <s v="Lead Generation"/>
    <s v="UK"/>
    <d v="2024-02-04T00:00:00"/>
    <d v="2024-02-18T00:00:00"/>
    <n v="127479"/>
    <n v="3403"/>
    <n v="190"/>
    <n v="14783.19"/>
    <n v="61393.760000000002"/>
    <n v="2.67"/>
    <n v="5.61"/>
    <n v="4.34"/>
    <n v="77.81"/>
    <n v="4.1500000000000004"/>
    <n v="315.29000000000002"/>
  </r>
  <r>
    <s v="CMP1006"/>
    <s v="Integrated 24hour extranet"/>
    <x v="3"/>
    <s v="Retention"/>
    <s v="UK"/>
    <d v="2024-06-12T00:00:00"/>
    <d v="2024-07-20T00:00:00"/>
    <n v="125847"/>
    <n v="5713"/>
    <n v="1025"/>
    <n v="1318.43"/>
    <n v="4921.1400000000003"/>
    <n v="4.54"/>
    <n v="17.95"/>
    <n v="0.23"/>
    <n v="1.29"/>
    <n v="3.73"/>
    <n v="273.26"/>
  </r>
  <r>
    <s v="CMP1007"/>
    <s v="Stand-alone human-resource software"/>
    <x v="1"/>
    <s v="Retention"/>
    <s v="Canada"/>
    <d v="2024-05-05T00:00:00"/>
    <d v="2024-06-05T00:00:00"/>
    <n v="365486"/>
    <n v="7857"/>
    <n v="575"/>
    <n v="16834.25"/>
    <n v="83208.23"/>
    <n v="2.15"/>
    <n v="7.33"/>
    <n v="2.14"/>
    <n v="29.28"/>
    <n v="4.9400000000000004"/>
    <n v="394.28"/>
  </r>
  <r>
    <s v="CMP1008"/>
    <s v="Re-contextualized 6thgeneration open architecture"/>
    <x v="1"/>
    <s v="Retention"/>
    <s v="Australia"/>
    <d v="2024-08-03T00:00:00"/>
    <d v="2024-09-12T00:00:00"/>
    <n v="329849"/>
    <n v="5409"/>
    <n v="473"/>
    <n v="7681.83"/>
    <n v="18254.18"/>
    <n v="1.64"/>
    <n v="8.75"/>
    <n v="1.42"/>
    <n v="16.239999999999998"/>
    <n v="2.38"/>
    <n v="137.63"/>
  </r>
  <r>
    <s v="CMP1009"/>
    <s v="Public-key client-server Graphic Interface"/>
    <x v="3"/>
    <s v="Lead Generation"/>
    <s v="India"/>
    <d v="2024-08-30T00:00:00"/>
    <d v="2024-09-14T00:00:00"/>
    <n v="173308"/>
    <n v="10693"/>
    <n v="1072"/>
    <n v="4327.68"/>
    <n v="15712.91"/>
    <n v="6.17"/>
    <n v="10.029999999999999"/>
    <n v="0.4"/>
    <n v="4.04"/>
    <n v="3.63"/>
    <n v="263.08"/>
  </r>
  <r>
    <s v="CMP1010"/>
    <s v="Fully-configurable system-worthy paradigm"/>
    <x v="0"/>
    <s v="Awareness"/>
    <s v="UK"/>
    <d v="2024-03-14T00:00:00"/>
    <d v="2024-04-25T00:00:00"/>
    <n v="239193"/>
    <n v="14112"/>
    <n v="1298"/>
    <n v="21380.21"/>
    <n v="71113.52"/>
    <n v="5.9"/>
    <n v="9.1999999999999993"/>
    <n v="1.52"/>
    <n v="16.47"/>
    <n v="3.33"/>
    <n v="232.61"/>
  </r>
  <r>
    <s v="CMP1011"/>
    <s v="Organized foreground frame"/>
    <x v="1"/>
    <s v="Lead Generation"/>
    <s v="USA"/>
    <d v="2024-03-14T00:00:00"/>
    <d v="2024-04-14T00:00:00"/>
    <n v="484017"/>
    <n v="5711"/>
    <n v="584"/>
    <n v="5875.77"/>
    <n v="30148.65"/>
    <n v="1.18"/>
    <n v="10.23"/>
    <n v="1.03"/>
    <n v="10.06"/>
    <n v="5.13"/>
    <n v="413.1"/>
  </r>
  <r>
    <s v="CMP1012"/>
    <s v="Managed 3rdgeneration budgetary management"/>
    <x v="0"/>
    <s v="Retention"/>
    <s v="UK"/>
    <d v="2024-03-21T00:00:00"/>
    <d v="2024-03-29T00:00:00"/>
    <n v="78355"/>
    <n v="4160"/>
    <n v="331"/>
    <n v="6475.41"/>
    <n v="37353.19"/>
    <n v="5.31"/>
    <n v="7.98"/>
    <n v="1.56"/>
    <n v="19.559999999999999"/>
    <n v="5.77"/>
    <n v="476.85"/>
  </r>
  <r>
    <s v="CMP1013"/>
    <s v="Monitored real-time customer loyalty"/>
    <x v="2"/>
    <s v="Conversion"/>
    <s v="USA"/>
    <d v="2024-04-03T00:00:00"/>
    <d v="2024-05-10T00:00:00"/>
    <n v="91415"/>
    <n v="2047"/>
    <n v="42"/>
    <n v="15466.02"/>
    <n v="59918.87"/>
    <n v="2.2400000000000002"/>
    <n v="2.06"/>
    <n v="7.56"/>
    <n v="368.24"/>
    <n v="3.87"/>
    <n v="287.42"/>
  </r>
  <r>
    <s v="CMP1014"/>
    <s v="Open-architected regional moderator"/>
    <x v="2"/>
    <s v="Conversion"/>
    <s v="Canada"/>
    <d v="2024-02-26T00:00:00"/>
    <d v="2024-03-13T00:00:00"/>
    <n v="265756"/>
    <n v="9753"/>
    <n v="411"/>
    <n v="12672.71"/>
    <n v="26098.720000000001"/>
    <n v="3.67"/>
    <n v="4.22"/>
    <n v="1.3"/>
    <n v="30.83"/>
    <n v="2.06"/>
    <n v="105.94"/>
  </r>
  <r>
    <s v="CMP1015"/>
    <s v="Public-key disintermediate structure"/>
    <x v="0"/>
    <s v="Awareness"/>
    <s v="Australia"/>
    <d v="2024-08-20T00:00:00"/>
    <d v="2024-10-01T00:00:00"/>
    <n v="443809"/>
    <n v="14157"/>
    <n v="702"/>
    <n v="12927.81"/>
    <n v="50499.82"/>
    <n v="3.19"/>
    <n v="4.96"/>
    <n v="0.91"/>
    <n v="18.420000000000002"/>
    <n v="3.91"/>
    <n v="290.63"/>
  </r>
  <r>
    <s v="CMP1016"/>
    <s v="Down-sized bottom-line website"/>
    <x v="4"/>
    <s v="Conversion"/>
    <s v="USA"/>
    <d v="2024-03-05T00:00:00"/>
    <d v="2024-03-25T00:00:00"/>
    <n v="272125"/>
    <n v="9850"/>
    <n v="241"/>
    <n v="3649.21"/>
    <n v="13498.51"/>
    <n v="3.62"/>
    <n v="2.4500000000000002"/>
    <n v="0.37"/>
    <n v="15.14"/>
    <n v="3.7"/>
    <n v="269.89999999999998"/>
  </r>
  <r>
    <s v="CMP1017"/>
    <s v="Up-sized global utilization"/>
    <x v="1"/>
    <s v="Awareness"/>
    <s v="USA"/>
    <d v="2024-08-27T00:00:00"/>
    <d v="2024-10-03T00:00:00"/>
    <n v="255673"/>
    <n v="2837"/>
    <n v="289"/>
    <n v="12948.71"/>
    <n v="74943.360000000001"/>
    <n v="1.1100000000000001"/>
    <n v="10.220000000000001"/>
    <n v="4.5599999999999996"/>
    <n v="44.81"/>
    <n v="5.79"/>
    <n v="478.77"/>
  </r>
  <r>
    <s v="CMP1018"/>
    <s v="Up-sized systemic definition"/>
    <x v="4"/>
    <s v="Retention"/>
    <s v="Canada"/>
    <d v="2024-02-23T00:00:00"/>
    <d v="2024-03-05T00:00:00"/>
    <n v="136415"/>
    <n v="1827"/>
    <n v="51"/>
    <n v="7802.77"/>
    <n v="25083.08"/>
    <n v="1.34"/>
    <n v="2.8"/>
    <n v="4.2699999999999996"/>
    <n v="153"/>
    <n v="3.21"/>
    <n v="221.46"/>
  </r>
  <r>
    <s v="CMP1019"/>
    <s v="User-friendly multi-state model"/>
    <x v="4"/>
    <s v="Conversion"/>
    <s v="India"/>
    <d v="2024-06-07T00:00:00"/>
    <d v="2024-06-26T00:00:00"/>
    <n v="175582"/>
    <n v="3388"/>
    <n v="115"/>
    <n v="3316.49"/>
    <n v="15544.38"/>
    <n v="1.93"/>
    <n v="3.4"/>
    <n v="0.98"/>
    <n v="28.84"/>
    <n v="4.6900000000000004"/>
    <n v="368.7"/>
  </r>
  <r>
    <s v="CMP1020"/>
    <s v="Profound upward-trending framework"/>
    <x v="3"/>
    <s v="Lead Generation"/>
    <s v="India"/>
    <d v="2024-09-04T00:00:00"/>
    <d v="2024-09-13T00:00:00"/>
    <n v="176004"/>
    <n v="9891"/>
    <n v="1757"/>
    <n v="3041.59"/>
    <n v="13799.17"/>
    <n v="5.62"/>
    <n v="17.77"/>
    <n v="0.31"/>
    <n v="1.73"/>
    <n v="4.54"/>
    <n v="353.68"/>
  </r>
  <r>
    <s v="CMP1021"/>
    <s v="Up-sized methodical encryption"/>
    <x v="0"/>
    <s v="Conversion"/>
    <s v="India"/>
    <d v="2024-04-09T00:00:00"/>
    <d v="2024-05-06T00:00:00"/>
    <n v="211797"/>
    <n v="5358"/>
    <n v="328"/>
    <n v="10648.04"/>
    <n v="40373.25"/>
    <n v="2.5299999999999998"/>
    <n v="6.14"/>
    <n v="1.99"/>
    <n v="32.46"/>
    <n v="3.79"/>
    <n v="279.16000000000003"/>
  </r>
  <r>
    <s v="CMP1022"/>
    <s v="Proactive bottom-line toolset"/>
    <x v="1"/>
    <s v="Conversion"/>
    <s v="USA"/>
    <d v="2024-09-14T00:00:00"/>
    <d v="2024-09-30T00:00:00"/>
    <n v="418394"/>
    <n v="8158"/>
    <n v="597"/>
    <n v="18344.18"/>
    <n v="78258.16"/>
    <n v="1.95"/>
    <n v="7.32"/>
    <n v="2.25"/>
    <n v="30.73"/>
    <n v="4.2699999999999996"/>
    <n v="326.61"/>
  </r>
  <r>
    <s v="CMP1023"/>
    <s v="Team-oriented real-time success"/>
    <x v="0"/>
    <s v="Retention"/>
    <s v="Canada"/>
    <d v="2024-02-10T00:00:00"/>
    <d v="2024-02-22T00:00:00"/>
    <n v="357420"/>
    <n v="21373"/>
    <n v="901"/>
    <n v="8224.4599999999991"/>
    <n v="41703.629999999997"/>
    <n v="5.98"/>
    <n v="4.22"/>
    <n v="0.38"/>
    <n v="9.1300000000000008"/>
    <n v="5.07"/>
    <n v="407.07"/>
  </r>
  <r>
    <s v="CMP1024"/>
    <s v="Profit-focused homogeneous software"/>
    <x v="2"/>
    <s v="Lead Generation"/>
    <s v="USA"/>
    <d v="2024-11-07T00:00:00"/>
    <d v="2024-12-17T00:00:00"/>
    <n v="453086"/>
    <n v="16582"/>
    <n v="1155"/>
    <n v="10524.3"/>
    <n v="68042.28"/>
    <n v="3.66"/>
    <n v="6.97"/>
    <n v="0.63"/>
    <n v="9.11"/>
    <n v="6.47"/>
    <n v="546.53"/>
  </r>
  <r>
    <s v="CMP1025"/>
    <s v="Progressive scalable open architecture"/>
    <x v="4"/>
    <s v="Retention"/>
    <s v="USA"/>
    <d v="2024-07-17T00:00:00"/>
    <d v="2024-08-08T00:00:00"/>
    <n v="227744"/>
    <n v="4463"/>
    <n v="164"/>
    <n v="14251.76"/>
    <n v="31069.66"/>
    <n v="1.96"/>
    <n v="3.68"/>
    <n v="3.19"/>
    <n v="86.9"/>
    <n v="2.1800000000000002"/>
    <n v="118.01"/>
  </r>
  <r>
    <s v="CMP1026"/>
    <s v="Total value-added adapter"/>
    <x v="2"/>
    <s v="Awareness"/>
    <s v="USA"/>
    <d v="2024-06-07T00:00:00"/>
    <d v="2024-07-19T00:00:00"/>
    <n v="347219"/>
    <n v="11736"/>
    <n v="526"/>
    <n v="15070.9"/>
    <n v="39814.32"/>
    <n v="3.38"/>
    <n v="4.49"/>
    <n v="1.28"/>
    <n v="28.65"/>
    <n v="2.64"/>
    <n v="164.18"/>
  </r>
  <r>
    <s v="CMP1027"/>
    <s v="Organized encompassing software"/>
    <x v="0"/>
    <s v="Retention"/>
    <s v="India"/>
    <d v="2024-07-05T00:00:00"/>
    <d v="2024-08-03T00:00:00"/>
    <n v="288450"/>
    <n v="10816"/>
    <n v="1038"/>
    <n v="8229.4500000000007"/>
    <n v="26832.35"/>
    <n v="3.75"/>
    <n v="9.6"/>
    <n v="0.76"/>
    <n v="7.93"/>
    <n v="3.26"/>
    <n v="226.05"/>
  </r>
  <r>
    <s v="CMP1028"/>
    <s v="Multi-lateral discrete hierarchy"/>
    <x v="0"/>
    <s v="Awareness"/>
    <s v="USA"/>
    <d v="2024-08-14T00:00:00"/>
    <d v="2024-08-29T00:00:00"/>
    <n v="422587"/>
    <n v="23622"/>
    <n v="1311"/>
    <n v="14465.22"/>
    <n v="45596.09"/>
    <n v="5.59"/>
    <n v="5.55"/>
    <n v="0.61"/>
    <n v="11.03"/>
    <n v="3.15"/>
    <n v="215.21"/>
  </r>
  <r>
    <s v="CMP1029"/>
    <s v="Networked static framework"/>
    <x v="0"/>
    <s v="Retention"/>
    <s v="India"/>
    <d v="2024-03-07T00:00:00"/>
    <d v="2024-04-11T00:00:00"/>
    <n v="240564"/>
    <n v="14289"/>
    <n v="915"/>
    <n v="22140.02"/>
    <n v="135654.79"/>
    <n v="5.94"/>
    <n v="6.41"/>
    <n v="1.55"/>
    <n v="24.2"/>
    <n v="6.13"/>
    <n v="512.71"/>
  </r>
  <r>
    <s v="CMP1030"/>
    <s v="Intuitive non-volatile flexibility"/>
    <x v="4"/>
    <s v="Conversion"/>
    <s v="UK"/>
    <d v="2024-01-22T00:00:00"/>
    <d v="2024-02-01T00:00:00"/>
    <n v="93773"/>
    <n v="2785"/>
    <n v="91"/>
    <n v="5785.34"/>
    <n v="34364.42"/>
    <n v="2.97"/>
    <n v="3.27"/>
    <n v="2.08"/>
    <n v="63.58"/>
    <n v="5.94"/>
    <n v="493.99"/>
  </r>
  <r>
    <s v="CMP1031"/>
    <s v="Decentralized actuating algorithm"/>
    <x v="2"/>
    <s v="Awareness"/>
    <s v="USA"/>
    <d v="2024-04-24T00:00:00"/>
    <d v="2024-05-25T00:00:00"/>
    <n v="497249"/>
    <n v="9049"/>
    <n v="351"/>
    <n v="11552.01"/>
    <n v="67489.52"/>
    <n v="1.82"/>
    <n v="3.88"/>
    <n v="1.28"/>
    <n v="32.909999999999997"/>
    <n v="5.84"/>
    <n v="484.22"/>
  </r>
  <r>
    <s v="CMP1032"/>
    <s v="Balanced bandwidth-monitored orchestration"/>
    <x v="1"/>
    <s v="Awareness"/>
    <s v="UK"/>
    <d v="2024-04-02T00:00:00"/>
    <d v="2024-04-15T00:00:00"/>
    <n v="294254"/>
    <n v="4708"/>
    <n v="411"/>
    <n v="17092.64"/>
    <n v="42578.38"/>
    <n v="1.6"/>
    <n v="8.75"/>
    <n v="3.63"/>
    <n v="41.59"/>
    <n v="2.4900000000000002"/>
    <n v="149.1"/>
  </r>
  <r>
    <s v="CMP1033"/>
    <s v="Integrated bottom-line solution"/>
    <x v="1"/>
    <s v="Retention"/>
    <s v="USA"/>
    <d v="2024-08-31T00:00:00"/>
    <d v="2024-09-14T00:00:00"/>
    <n v="260512"/>
    <n v="3542"/>
    <n v="255"/>
    <n v="19943.009999999998"/>
    <n v="83527.86"/>
    <n v="1.36"/>
    <n v="7.22"/>
    <n v="5.63"/>
    <n v="78.209999999999994"/>
    <n v="4.1900000000000004"/>
    <n v="318.83"/>
  </r>
  <r>
    <s v="CMP1034"/>
    <s v="Visionary zero tolerance installation"/>
    <x v="4"/>
    <s v="Retention"/>
    <s v="India"/>
    <d v="2024-01-17T00:00:00"/>
    <d v="2024-03-02T00:00:00"/>
    <n v="335779"/>
    <n v="5372"/>
    <n v="168"/>
    <n v="10502.7"/>
    <n v="36138.11"/>
    <n v="1.6"/>
    <n v="3.14"/>
    <n v="1.96"/>
    <n v="62.52"/>
    <n v="3.44"/>
    <n v="244.08"/>
  </r>
  <r>
    <s v="CMP1035"/>
    <s v="Function-based didactic task-force"/>
    <x v="1"/>
    <s v="Awareness"/>
    <s v="UK"/>
    <d v="2024-08-04T00:00:00"/>
    <d v="2024-08-28T00:00:00"/>
    <n v="463956"/>
    <n v="7098"/>
    <n v="589"/>
    <n v="4865.24"/>
    <n v="28734.560000000001"/>
    <n v="1.53"/>
    <n v="8.31"/>
    <n v="0.69"/>
    <n v="8.26"/>
    <n v="5.91"/>
    <n v="490.61"/>
  </r>
  <r>
    <s v="CMP1036"/>
    <s v="Triple-buffered zero administration framework"/>
    <x v="4"/>
    <s v="Lead Generation"/>
    <s v="India"/>
    <d v="2024-08-02T00:00:00"/>
    <d v="2024-09-11T00:00:00"/>
    <n v="124311"/>
    <n v="1715"/>
    <n v="50"/>
    <n v="6229.21"/>
    <n v="32422.6"/>
    <n v="1.38"/>
    <n v="2.92"/>
    <n v="3.63"/>
    <n v="124.58"/>
    <n v="5.2"/>
    <n v="420.49"/>
  </r>
  <r>
    <s v="CMP1037"/>
    <s v="Stand-alone systemic website"/>
    <x v="2"/>
    <s v="Conversion"/>
    <s v="USA"/>
    <d v="2024-06-01T00:00:00"/>
    <d v="2024-06-18T00:00:00"/>
    <n v="485446"/>
    <n v="8058"/>
    <n v="521"/>
    <n v="9428.01"/>
    <n v="59727.82"/>
    <n v="1.66"/>
    <n v="6.47"/>
    <n v="1.17"/>
    <n v="18.100000000000001"/>
    <n v="6.34"/>
    <n v="533.51"/>
  </r>
  <r>
    <s v="CMP1038"/>
    <s v="Customizable modular challenge"/>
    <x v="2"/>
    <s v="Conversion"/>
    <s v="Canada"/>
    <d v="2024-06-30T00:00:00"/>
    <d v="2024-08-12T00:00:00"/>
    <n v="302510"/>
    <n v="8863"/>
    <n v="482"/>
    <n v="5410.34"/>
    <n v="27782.67"/>
    <n v="2.93"/>
    <n v="5.44"/>
    <n v="0.61"/>
    <n v="11.22"/>
    <n v="5.14"/>
    <n v="413.51"/>
  </r>
  <r>
    <s v="CMP1039"/>
    <s v="Persistent 5thgeneration parallelism"/>
    <x v="1"/>
    <s v="Awareness"/>
    <s v="Australia"/>
    <d v="2024-03-15T00:00:00"/>
    <d v="2024-04-11T00:00:00"/>
    <n v="460555"/>
    <n v="10684"/>
    <n v="682"/>
    <n v="15563.58"/>
    <n v="71642.3"/>
    <n v="2.3199999999999998"/>
    <n v="6.39"/>
    <n v="1.46"/>
    <n v="22.82"/>
    <n v="4.5999999999999996"/>
    <n v="360.32"/>
  </r>
  <r>
    <s v="CMP1040"/>
    <s v="Business-focused needs-based complexity"/>
    <x v="4"/>
    <s v="Awareness"/>
    <s v="USA"/>
    <d v="2024-07-27T00:00:00"/>
    <d v="2024-08-19T00:00:00"/>
    <n v="290469"/>
    <n v="10544"/>
    <n v="342"/>
    <n v="6455.1"/>
    <n v="35916.660000000003"/>
    <n v="3.63"/>
    <n v="3.25"/>
    <n v="0.61"/>
    <n v="18.87"/>
    <n v="5.56"/>
    <n v="456.41"/>
  </r>
  <r>
    <s v="CMP1041"/>
    <s v="Organized dedicated array"/>
    <x v="3"/>
    <s v="Awareness"/>
    <s v="Canada"/>
    <d v="2024-01-19T00:00:00"/>
    <d v="2024-02-08T00:00:00"/>
    <n v="486475"/>
    <n v="44463"/>
    <n v="6375"/>
    <n v="3375.12"/>
    <n v="15534.65"/>
    <n v="9.14"/>
    <n v="14.34"/>
    <n v="0.08"/>
    <n v="0.53"/>
    <n v="4.5999999999999996"/>
    <n v="360.27"/>
  </r>
  <r>
    <s v="CMP1042"/>
    <s v="Streamlined hybrid Internet solution"/>
    <x v="2"/>
    <s v="Retention"/>
    <s v="Australia"/>
    <d v="2024-10-22T00:00:00"/>
    <d v="2024-10-29T00:00:00"/>
    <n v="456000"/>
    <n v="9120"/>
    <n v="354"/>
    <n v="8221.2800000000007"/>
    <n v="51676.47"/>
    <n v="2"/>
    <n v="3.89"/>
    <n v="0.9"/>
    <n v="23.22"/>
    <n v="6.29"/>
    <n v="528.57000000000005"/>
  </r>
  <r>
    <s v="CMP1043"/>
    <s v="Configurable systematic groupware"/>
    <x v="4"/>
    <s v="Conversion"/>
    <s v="India"/>
    <d v="2024-08-21T00:00:00"/>
    <d v="2024-09-23T00:00:00"/>
    <n v="208305"/>
    <n v="7353"/>
    <n v="239"/>
    <n v="13346.98"/>
    <n v="68695.929999999993"/>
    <n v="3.53"/>
    <n v="3.26"/>
    <n v="1.82"/>
    <n v="55.85"/>
    <n v="5.15"/>
    <n v="414.69"/>
  </r>
  <r>
    <s v="CMP1044"/>
    <s v="Cross-group impactful hub"/>
    <x v="1"/>
    <s v="Conversion"/>
    <s v="UK"/>
    <d v="2024-03-31T00:00:00"/>
    <d v="2024-05-06T00:00:00"/>
    <n v="484207"/>
    <n v="8328"/>
    <n v="721"/>
    <n v="16241.3"/>
    <n v="40769.07"/>
    <n v="1.72"/>
    <n v="8.66"/>
    <n v="1.95"/>
    <n v="22.53"/>
    <n v="2.5099999999999998"/>
    <n v="151.02000000000001"/>
  </r>
  <r>
    <s v="CMP1045"/>
    <s v="Future-proofed bifurcated extranet"/>
    <x v="1"/>
    <s v="Conversion"/>
    <s v="USA"/>
    <d v="2024-08-11T00:00:00"/>
    <d v="2024-09-05T00:00:00"/>
    <n v="339802"/>
    <n v="6150"/>
    <n v="541"/>
    <n v="10105.01"/>
    <n v="58638.49"/>
    <n v="1.81"/>
    <n v="8.8000000000000007"/>
    <n v="1.64"/>
    <n v="18.68"/>
    <n v="5.8"/>
    <n v="480.29"/>
  </r>
  <r>
    <s v="CMP1046"/>
    <s v="Stand-alone intermediate challenge"/>
    <x v="3"/>
    <s v="Awareness"/>
    <s v="India"/>
    <d v="2024-02-23T00:00:00"/>
    <d v="2024-04-01T00:00:00"/>
    <n v="472544"/>
    <n v="42623"/>
    <n v="3793"/>
    <n v="573.91999999999996"/>
    <n v="3556.14"/>
    <n v="9.02"/>
    <n v="8.9"/>
    <n v="0.01"/>
    <n v="0.15"/>
    <n v="6.2"/>
    <n v="519.62"/>
  </r>
  <r>
    <s v="CMP1047"/>
    <s v="Synergistic intangible paradigm"/>
    <x v="3"/>
    <s v="Awareness"/>
    <s v="Canada"/>
    <d v="2024-04-24T00:00:00"/>
    <d v="2024-05-30T00:00:00"/>
    <n v="313906"/>
    <n v="23511"/>
    <n v="1958"/>
    <n v="1804.57"/>
    <n v="7024.98"/>
    <n v="7.49"/>
    <n v="8.33"/>
    <n v="0.08"/>
    <n v="0.92"/>
    <n v="3.89"/>
    <n v="289.29000000000002"/>
  </r>
  <r>
    <s v="CMP1048"/>
    <s v="Public-key cohesive matrices"/>
    <x v="3"/>
    <s v="Retention"/>
    <s v="India"/>
    <d v="2024-08-25T00:00:00"/>
    <d v="2024-09-27T00:00:00"/>
    <n v="152529"/>
    <n v="13941"/>
    <n v="2441"/>
    <n v="2077.7600000000002"/>
    <n v="11577.03"/>
    <n v="9.14"/>
    <n v="17.510000000000002"/>
    <n v="0.15"/>
    <n v="0.85"/>
    <n v="5.57"/>
    <n v="457.19"/>
  </r>
  <r>
    <s v="CMP1049"/>
    <s v="Upgradable real-time encoding"/>
    <x v="1"/>
    <s v="Awareness"/>
    <s v="UK"/>
    <d v="2024-07-31T00:00:00"/>
    <d v="2024-08-22T00:00:00"/>
    <n v="460096"/>
    <n v="5429"/>
    <n v="379"/>
    <n v="18073.71"/>
    <n v="57659.58"/>
    <n v="1.18"/>
    <n v="6.99"/>
    <n v="3.33"/>
    <n v="47.69"/>
    <n v="3.19"/>
    <n v="219.02"/>
  </r>
  <r>
    <s v="CMP1050"/>
    <s v="Grass-roots incremental frame"/>
    <x v="0"/>
    <s v="Retention"/>
    <s v="India"/>
    <d v="2024-11-03T00:00:00"/>
    <d v="2024-11-30T00:00:00"/>
    <n v="58142"/>
    <n v="1511"/>
    <n v="132"/>
    <n v="21815.39"/>
    <n v="94577.02"/>
    <n v="2.6"/>
    <n v="8.74"/>
    <n v="14.44"/>
    <n v="165.27"/>
    <n v="4.34"/>
    <n v="333.53"/>
  </r>
  <r>
    <s v="CMP1051"/>
    <s v="Pre-emptive homogeneous attitude"/>
    <x v="4"/>
    <s v="Lead Generation"/>
    <s v="Australia"/>
    <d v="2024-01-27T00:00:00"/>
    <d v="2024-03-10T00:00:00"/>
    <n v="275454"/>
    <n v="5040"/>
    <n v="247"/>
    <n v="4908.26"/>
    <n v="24050.25"/>
    <n v="1.83"/>
    <n v="4.91"/>
    <n v="0.97"/>
    <n v="19.87"/>
    <n v="4.9000000000000004"/>
    <n v="390"/>
  </r>
  <r>
    <s v="CMP1052"/>
    <s v="Assimilated bi-directional open system"/>
    <x v="1"/>
    <s v="Lead Generation"/>
    <s v="Canada"/>
    <d v="2024-02-20T00:00:00"/>
    <d v="2024-03-06T00:00:00"/>
    <n v="431740"/>
    <n v="4749"/>
    <n v="538"/>
    <n v="12276.43"/>
    <n v="48716.639999999999"/>
    <n v="1.1000000000000001"/>
    <n v="11.33"/>
    <n v="2.59"/>
    <n v="22.82"/>
    <n v="3.97"/>
    <n v="296.83"/>
  </r>
  <r>
    <s v="CMP1053"/>
    <s v="De-engineered high-level customer loyalty"/>
    <x v="3"/>
    <s v="Awareness"/>
    <s v="Australia"/>
    <d v="2024-03-22T00:00:00"/>
    <d v="2024-04-18T00:00:00"/>
    <n v="461189"/>
    <n v="29285"/>
    <n v="4574"/>
    <n v="4624.99"/>
    <n v="26677.040000000001"/>
    <n v="6.35"/>
    <n v="15.62"/>
    <n v="0.16"/>
    <n v="1.01"/>
    <n v="5.77"/>
    <n v="476.8"/>
  </r>
  <r>
    <s v="CMP1054"/>
    <s v="Open-architected solution-oriented superstructure"/>
    <x v="2"/>
    <s v="Awareness"/>
    <s v="India"/>
    <d v="2024-10-05T00:00:00"/>
    <d v="2024-10-17T00:00:00"/>
    <n v="63442"/>
    <n v="1782"/>
    <n v="91"/>
    <n v="11899.32"/>
    <n v="25288.23"/>
    <n v="2.81"/>
    <n v="5.14"/>
    <n v="6.68"/>
    <n v="130.76"/>
    <n v="2.13"/>
    <n v="112.52"/>
  </r>
  <r>
    <s v="CMP1055"/>
    <s v="Re-engineered methodical Local Area Network"/>
    <x v="3"/>
    <s v="Retention"/>
    <s v="India"/>
    <d v="2024-04-05T00:00:00"/>
    <d v="2024-04-27T00:00:00"/>
    <n v="439199"/>
    <n v="36936"/>
    <n v="6585"/>
    <n v="3355.08"/>
    <n v="18450.099999999999"/>
    <n v="8.41"/>
    <n v="17.829999999999998"/>
    <n v="0.09"/>
    <n v="0.51"/>
    <n v="5.5"/>
    <n v="449.92"/>
  </r>
  <r>
    <s v="CMP1056"/>
    <s v="Fully-configurable explicit archive"/>
    <x v="2"/>
    <s v="Conversion"/>
    <s v="USA"/>
    <d v="2024-05-13T00:00:00"/>
    <d v="2024-05-23T00:00:00"/>
    <n v="330712"/>
    <n v="13294"/>
    <n v="748"/>
    <n v="15106.46"/>
    <n v="55916.28"/>
    <n v="4.0199999999999996"/>
    <n v="5.63"/>
    <n v="1.1399999999999999"/>
    <n v="20.2"/>
    <n v="3.7"/>
    <n v="270.14999999999998"/>
  </r>
  <r>
    <s v="CMP1057"/>
    <s v="Sharable full-range paradigm"/>
    <x v="4"/>
    <s v="Awareness"/>
    <s v="USA"/>
    <d v="2024-11-01T00:00:00"/>
    <d v="2024-11-15T00:00:00"/>
    <n v="378958"/>
    <n v="4774"/>
    <n v="236"/>
    <n v="13336.74"/>
    <n v="33331.07"/>
    <n v="1.26"/>
    <n v="4.95"/>
    <n v="2.79"/>
    <n v="56.51"/>
    <n v="2.5"/>
    <n v="149.91999999999999"/>
  </r>
  <r>
    <s v="CMP1058"/>
    <s v="Inverse scalable system engine"/>
    <x v="0"/>
    <s v="Lead Generation"/>
    <s v="UK"/>
    <d v="2024-04-16T00:00:00"/>
    <d v="2024-05-18T00:00:00"/>
    <n v="187360"/>
    <n v="11391"/>
    <n v="519"/>
    <n v="14884.9"/>
    <n v="53976.93"/>
    <n v="6.08"/>
    <n v="4.5599999999999996"/>
    <n v="1.31"/>
    <n v="28.68"/>
    <n v="3.63"/>
    <n v="262.63"/>
  </r>
  <r>
    <s v="CMP1059"/>
    <s v="Devolved multimedia interface"/>
    <x v="0"/>
    <s v="Retention"/>
    <s v="India"/>
    <d v="2024-07-11T00:00:00"/>
    <d v="2024-08-07T00:00:00"/>
    <n v="266921"/>
    <n v="7447"/>
    <n v="726"/>
    <n v="6526.25"/>
    <n v="33238.28"/>
    <n v="2.79"/>
    <n v="9.76"/>
    <n v="0.88"/>
    <n v="8.99"/>
    <n v="5.09"/>
    <n v="409.3"/>
  </r>
  <r>
    <s v="CMP1060"/>
    <s v="Visionary full-range definition"/>
    <x v="1"/>
    <s v="Lead Generation"/>
    <s v="USA"/>
    <d v="2024-01-17T00:00:00"/>
    <d v="2024-01-31T00:00:00"/>
    <n v="206633"/>
    <n v="1694"/>
    <n v="105"/>
    <n v="13076.7"/>
    <n v="61852.1"/>
    <n v="0.82"/>
    <n v="6.25"/>
    <n v="7.72"/>
    <n v="124.54"/>
    <n v="4.7300000000000004"/>
    <n v="372.99"/>
  </r>
  <r>
    <s v="CMP1061"/>
    <s v="Open-source composite function"/>
    <x v="4"/>
    <s v="Conversion"/>
    <s v="Canada"/>
    <d v="2024-03-03T00:00:00"/>
    <d v="2024-03-22T00:00:00"/>
    <n v="371915"/>
    <n v="10264"/>
    <n v="156"/>
    <n v="9021.86"/>
    <n v="28376.05"/>
    <n v="2.76"/>
    <n v="1.52"/>
    <n v="0.88"/>
    <n v="57.83"/>
    <n v="3.15"/>
    <n v="214.53"/>
  </r>
  <r>
    <s v="CMP1062"/>
    <s v="Multi-tiered well-modulated adapter"/>
    <x v="3"/>
    <s v="Awareness"/>
    <s v="Australia"/>
    <d v="2024-04-21T00:00:00"/>
    <d v="2024-04-29T00:00:00"/>
    <n v="62078"/>
    <n v="4413"/>
    <n v="688"/>
    <n v="1473.38"/>
    <n v="5366.06"/>
    <n v="7.11"/>
    <n v="15.61"/>
    <n v="0.33"/>
    <n v="2.14"/>
    <n v="3.64"/>
    <n v="264.2"/>
  </r>
  <r>
    <s v="CMP1063"/>
    <s v="Polarized 5thgeneration success"/>
    <x v="4"/>
    <s v="Lead Generation"/>
    <s v="USA"/>
    <d v="2024-02-17T00:00:00"/>
    <d v="2024-03-17T00:00:00"/>
    <n v="93748"/>
    <n v="2896"/>
    <n v="138"/>
    <n v="5844.88"/>
    <n v="24356.12"/>
    <n v="3.09"/>
    <n v="4.79"/>
    <n v="2.02"/>
    <n v="42.35"/>
    <n v="4.17"/>
    <n v="316.70999999999998"/>
  </r>
  <r>
    <s v="CMP1064"/>
    <s v="Business-focused full-range model"/>
    <x v="3"/>
    <s v="Conversion"/>
    <s v="Canada"/>
    <d v="2024-05-08T00:00:00"/>
    <d v="2024-05-26T00:00:00"/>
    <n v="440696"/>
    <n v="39001"/>
    <n v="4820"/>
    <n v="4758.5600000000004"/>
    <n v="29267.84"/>
    <n v="8.85"/>
    <n v="12.36"/>
    <n v="0.12"/>
    <n v="0.99"/>
    <n v="6.15"/>
    <n v="515.05999999999995"/>
  </r>
  <r>
    <s v="CMP1065"/>
    <s v="Synchronized explicit algorithm"/>
    <x v="2"/>
    <s v="Conversion"/>
    <s v="Canada"/>
    <d v="2024-09-06T00:00:00"/>
    <d v="2024-10-10T00:00:00"/>
    <n v="103946"/>
    <n v="3378"/>
    <n v="196"/>
    <n v="7673.78"/>
    <n v="42769.41"/>
    <n v="3.25"/>
    <n v="5.83"/>
    <n v="2.27"/>
    <n v="39.15"/>
    <n v="5.57"/>
    <n v="457.34"/>
  </r>
  <r>
    <s v="CMP1066"/>
    <s v="Pre-emptive background Graphical User Interface"/>
    <x v="1"/>
    <s v="Retention"/>
    <s v="Australia"/>
    <d v="2024-04-12T00:00:00"/>
    <d v="2024-05-25T00:00:00"/>
    <n v="441684"/>
    <n v="5565"/>
    <n v="402"/>
    <n v="5720.95"/>
    <n v="21303.14"/>
    <n v="1.26"/>
    <n v="7.23"/>
    <n v="1.03"/>
    <n v="14.23"/>
    <n v="3.72"/>
    <n v="272.37"/>
  </r>
  <r>
    <s v="CMP1067"/>
    <s v="Face-to-face dedicated process improvement"/>
    <x v="4"/>
    <s v="Conversion"/>
    <s v="India"/>
    <d v="2024-05-30T00:00:00"/>
    <d v="2024-07-14T00:00:00"/>
    <n v="285616"/>
    <n v="4655"/>
    <n v="75"/>
    <n v="8891.9599999999991"/>
    <n v="41266.800000000003"/>
    <n v="1.63"/>
    <n v="1.62"/>
    <n v="1.91"/>
    <n v="118.56"/>
    <n v="4.6399999999999997"/>
    <n v="364.09"/>
  </r>
  <r>
    <s v="CMP1068"/>
    <s v="Optimized fresh-thinking benchmark"/>
    <x v="3"/>
    <s v="Conversion"/>
    <s v="Canada"/>
    <d v="2024-05-05T00:00:00"/>
    <d v="2024-05-16T00:00:00"/>
    <n v="65697"/>
    <n v="3081"/>
    <n v="495"/>
    <n v="2432.2399999999998"/>
    <n v="6899.33"/>
    <n v="4.6900000000000004"/>
    <n v="16.09"/>
    <n v="0.79"/>
    <n v="4.91"/>
    <n v="2.84"/>
    <n v="183.66"/>
  </r>
  <r>
    <s v="CMP1069"/>
    <s v="Mandatory responsive knowledgebase"/>
    <x v="2"/>
    <s v="Conversion"/>
    <s v="UK"/>
    <d v="2024-06-17T00:00:00"/>
    <d v="2024-07-07T00:00:00"/>
    <n v="126042"/>
    <n v="4840"/>
    <n v="126"/>
    <n v="7778.84"/>
    <n v="15939.27"/>
    <n v="3.84"/>
    <n v="2.61"/>
    <n v="1.61"/>
    <n v="61.74"/>
    <n v="2.0499999999999998"/>
    <n v="104.91"/>
  </r>
  <r>
    <s v="CMP1070"/>
    <s v="Secured maximized interface"/>
    <x v="1"/>
    <s v="Conversion"/>
    <s v="USA"/>
    <d v="2024-10-14T00:00:00"/>
    <d v="2024-11-07T00:00:00"/>
    <n v="344461"/>
    <n v="3134"/>
    <n v="219"/>
    <n v="7394.8"/>
    <n v="22026.04"/>
    <n v="0.91"/>
    <n v="6.99"/>
    <n v="2.36"/>
    <n v="33.770000000000003"/>
    <n v="2.98"/>
    <n v="197.86"/>
  </r>
  <r>
    <s v="CMP1071"/>
    <s v="Assimilated actuating capacity"/>
    <x v="3"/>
    <s v="Awareness"/>
    <s v="Australia"/>
    <d v="2024-04-10T00:00:00"/>
    <d v="2024-04-20T00:00:00"/>
    <n v="388831"/>
    <n v="25390"/>
    <n v="3950"/>
    <n v="1930.02"/>
    <n v="6640.32"/>
    <n v="6.53"/>
    <n v="15.56"/>
    <n v="0.08"/>
    <n v="0.49"/>
    <n v="3.44"/>
    <n v="244.05"/>
  </r>
  <r>
    <s v="CMP1072"/>
    <s v="Grass-roots real-time throughput"/>
    <x v="1"/>
    <s v="Retention"/>
    <s v="India"/>
    <d v="2024-07-15T00:00:00"/>
    <d v="2024-08-06T00:00:00"/>
    <n v="193872"/>
    <n v="2946"/>
    <n v="172"/>
    <n v="6738.24"/>
    <n v="23388"/>
    <n v="1.52"/>
    <n v="5.87"/>
    <n v="2.29"/>
    <n v="39.18"/>
    <n v="3.47"/>
    <n v="247.09"/>
  </r>
  <r>
    <s v="CMP1073"/>
    <s v="Sharable tangible solution"/>
    <x v="3"/>
    <s v="Awareness"/>
    <s v="UK"/>
    <d v="2024-05-25T00:00:00"/>
    <d v="2024-06-09T00:00:00"/>
    <n v="59351"/>
    <n v="4664"/>
    <n v="772"/>
    <n v="4945.8"/>
    <n v="30181.22"/>
    <n v="7.86"/>
    <n v="16.559999999999999"/>
    <n v="1.06"/>
    <n v="6.41"/>
    <n v="6.1"/>
    <n v="510.24"/>
  </r>
  <r>
    <s v="CMP1074"/>
    <s v="Assimilated real-time secured line"/>
    <x v="1"/>
    <s v="Awareness"/>
    <s v="Australia"/>
    <d v="2024-07-31T00:00:00"/>
    <d v="2024-08-26T00:00:00"/>
    <n v="326569"/>
    <n v="2841"/>
    <n v="270"/>
    <n v="5111.2700000000004"/>
    <n v="12410.36"/>
    <n v="0.87"/>
    <n v="9.51"/>
    <n v="1.8"/>
    <n v="18.93"/>
    <n v="2.4300000000000002"/>
    <n v="142.80000000000001"/>
  </r>
  <r>
    <s v="CMP1075"/>
    <s v="Organized uniform access"/>
    <x v="4"/>
    <s v="Conversion"/>
    <s v="UK"/>
    <d v="2024-06-01T00:00:00"/>
    <d v="2024-07-07T00:00:00"/>
    <n v="259895"/>
    <n v="3664"/>
    <n v="154"/>
    <n v="8672.73"/>
    <n v="19182.580000000002"/>
    <n v="1.41"/>
    <n v="4.21"/>
    <n v="2.37"/>
    <n v="56.32"/>
    <n v="2.21"/>
    <n v="121.18"/>
  </r>
  <r>
    <s v="CMP1076"/>
    <s v="Reactive reciprocal website"/>
    <x v="1"/>
    <s v="Awareness"/>
    <s v="UK"/>
    <d v="2024-06-14T00:00:00"/>
    <d v="2024-07-18T00:00:00"/>
    <n v="373997"/>
    <n v="3627"/>
    <n v="238"/>
    <n v="17207.3"/>
    <n v="45157.2"/>
    <n v="0.97"/>
    <n v="6.57"/>
    <n v="4.74"/>
    <n v="72.3"/>
    <n v="2.62"/>
    <n v="162.43"/>
  </r>
  <r>
    <s v="CMP1077"/>
    <s v="Enterprise-wide upward-trending contingency"/>
    <x v="2"/>
    <s v="Lead Generation"/>
    <s v="India"/>
    <d v="2024-01-03T00:00:00"/>
    <d v="2024-01-13T00:00:00"/>
    <n v="150222"/>
    <n v="5513"/>
    <n v="334"/>
    <n v="15242.21"/>
    <n v="67355.520000000004"/>
    <n v="3.67"/>
    <n v="6.06"/>
    <n v="2.76"/>
    <n v="45.64"/>
    <n v="4.42"/>
    <n v="341.9"/>
  </r>
  <r>
    <s v="CMP1078"/>
    <s v="Right-sized bottom-line analyzer"/>
    <x v="4"/>
    <s v="Awareness"/>
    <s v="India"/>
    <d v="2024-07-13T00:00:00"/>
    <d v="2024-08-06T00:00:00"/>
    <n v="75167"/>
    <n v="2751"/>
    <n v="48"/>
    <n v="6616.61"/>
    <n v="31477.71"/>
    <n v="3.66"/>
    <n v="1.76"/>
    <n v="2.41"/>
    <n v="137.85"/>
    <n v="4.76"/>
    <n v="375.74"/>
  </r>
  <r>
    <s v="CMP1079"/>
    <s v="Compatible bi-directional implementation"/>
    <x v="2"/>
    <s v="Lead Generation"/>
    <s v="Australia"/>
    <d v="2024-07-30T00:00:00"/>
    <d v="2024-09-03T00:00:00"/>
    <n v="291536"/>
    <n v="5422"/>
    <n v="195"/>
    <n v="5220.0200000000004"/>
    <n v="24161.31"/>
    <n v="1.86"/>
    <n v="3.6"/>
    <n v="0.96"/>
    <n v="26.77"/>
    <n v="4.63"/>
    <n v="362.86"/>
  </r>
  <r>
    <s v="CMP1080"/>
    <s v="Grass-roots multi-tasking model"/>
    <x v="0"/>
    <s v="Lead Generation"/>
    <s v="Australia"/>
    <d v="2024-04-25T00:00:00"/>
    <d v="2024-05-07T00:00:00"/>
    <n v="300571"/>
    <n v="15479"/>
    <n v="1526"/>
    <n v="11438.23"/>
    <n v="60495.55"/>
    <n v="5.15"/>
    <n v="9.86"/>
    <n v="0.74"/>
    <n v="7.5"/>
    <n v="5.29"/>
    <n v="428.89"/>
  </r>
  <r>
    <s v="CMP1081"/>
    <s v="Open-source asynchronous service-desk"/>
    <x v="4"/>
    <s v="Conversion"/>
    <s v="India"/>
    <d v="2024-04-15T00:00:00"/>
    <d v="2024-04-26T00:00:00"/>
    <n v="235078"/>
    <n v="6229"/>
    <n v="284"/>
    <n v="10743.51"/>
    <n v="57034.15"/>
    <n v="2.65"/>
    <n v="4.5599999999999996"/>
    <n v="1.72"/>
    <n v="37.83"/>
    <n v="5.31"/>
    <n v="430.87"/>
  </r>
  <r>
    <s v="CMP1082"/>
    <s v="Fully-configurable clear-thinking synergy"/>
    <x v="0"/>
    <s v="Retention"/>
    <s v="India"/>
    <d v="2024-02-23T00:00:00"/>
    <d v="2024-03-22T00:00:00"/>
    <n v="161398"/>
    <n v="4115"/>
    <n v="218"/>
    <n v="21370.23"/>
    <n v="60811.73"/>
    <n v="2.5499999999999998"/>
    <n v="5.3"/>
    <n v="5.19"/>
    <n v="98.03"/>
    <n v="2.85"/>
    <n v="184.56"/>
  </r>
  <r>
    <s v="CMP1083"/>
    <s v="Integrated multi-tasking encoding"/>
    <x v="2"/>
    <s v="Conversion"/>
    <s v="UK"/>
    <d v="2024-04-22T00:00:00"/>
    <d v="2024-05-22T00:00:00"/>
    <n v="421464"/>
    <n v="12053"/>
    <n v="333"/>
    <n v="10567.67"/>
    <n v="64606.12"/>
    <n v="2.86"/>
    <n v="2.77"/>
    <n v="0.88"/>
    <n v="31.73"/>
    <n v="6.11"/>
    <n v="511.36"/>
  </r>
  <r>
    <s v="CMP1084"/>
    <s v="Advanced fresh-thinking Local Area Network"/>
    <x v="1"/>
    <s v="Retention"/>
    <s v="Australia"/>
    <d v="2024-06-06T00:00:00"/>
    <d v="2024-07-19T00:00:00"/>
    <n v="319203"/>
    <n v="3670"/>
    <n v="286"/>
    <n v="5098.2299999999996"/>
    <n v="19903.099999999999"/>
    <n v="1.1499999999999999"/>
    <n v="7.8"/>
    <n v="1.39"/>
    <n v="17.829999999999998"/>
    <n v="3.9"/>
    <n v="290.39"/>
  </r>
  <r>
    <s v="CMP1085"/>
    <s v="Profit-focused multi-state intranet"/>
    <x v="0"/>
    <s v="Lead Generation"/>
    <s v="Canada"/>
    <d v="2024-01-15T00:00:00"/>
    <d v="2024-02-21T00:00:00"/>
    <n v="106189"/>
    <n v="5819"/>
    <n v="316"/>
    <n v="22881.96"/>
    <n v="65022.15"/>
    <n v="5.48"/>
    <n v="5.44"/>
    <n v="3.93"/>
    <n v="72.41"/>
    <n v="2.84"/>
    <n v="184.16"/>
  </r>
  <r>
    <s v="CMP1086"/>
    <s v="Virtual composite paradigm"/>
    <x v="3"/>
    <s v="Retention"/>
    <s v="UK"/>
    <d v="2024-07-22T00:00:00"/>
    <d v="2024-08-30T00:00:00"/>
    <n v="189239"/>
    <n v="8913"/>
    <n v="1203"/>
    <n v="2094.92"/>
    <n v="6189.02"/>
    <n v="4.71"/>
    <n v="13.5"/>
    <n v="0.24"/>
    <n v="1.74"/>
    <n v="2.95"/>
    <n v="195.43"/>
  </r>
  <r>
    <s v="CMP1087"/>
    <s v="Reverse-engineered object-oriented instruction set"/>
    <x v="1"/>
    <s v="Conversion"/>
    <s v="India"/>
    <d v="2024-08-04T00:00:00"/>
    <d v="2024-08-23T00:00:00"/>
    <n v="281389"/>
    <n v="3545"/>
    <n v="201"/>
    <n v="14377.95"/>
    <n v="76116.97"/>
    <n v="1.26"/>
    <n v="5.68"/>
    <n v="4.0599999999999996"/>
    <n v="71.53"/>
    <n v="5.29"/>
    <n v="429.4"/>
  </r>
  <r>
    <s v="CMP1088"/>
    <s v="De-engineered composite website"/>
    <x v="4"/>
    <s v="Lead Generation"/>
    <s v="Canada"/>
    <d v="2024-01-26T00:00:00"/>
    <d v="2024-02-17T00:00:00"/>
    <n v="142612"/>
    <n v="3907"/>
    <n v="130"/>
    <n v="8670.2000000000007"/>
    <n v="34256.339999999997"/>
    <n v="2.74"/>
    <n v="3.35"/>
    <n v="2.2200000000000002"/>
    <n v="66.69"/>
    <n v="3.95"/>
    <n v="295.10000000000002"/>
  </r>
  <r>
    <s v="CMP1089"/>
    <s v="Exclusive interactive hardware"/>
    <x v="0"/>
    <s v="Lead Generation"/>
    <s v="India"/>
    <d v="2024-05-21T00:00:00"/>
    <d v="2024-06-11T00:00:00"/>
    <n v="77859"/>
    <n v="4733"/>
    <n v="352"/>
    <n v="9775.34"/>
    <n v="42958.64"/>
    <n v="6.08"/>
    <n v="7.45"/>
    <n v="2.0699999999999998"/>
    <n v="27.77"/>
    <n v="4.3899999999999997"/>
    <n v="339.46"/>
  </r>
  <r>
    <s v="CMP1090"/>
    <s v="User-friendly heuristic archive"/>
    <x v="3"/>
    <s v="Retention"/>
    <s v="Canada"/>
    <d v="2024-04-15T00:00:00"/>
    <d v="2024-05-02T00:00:00"/>
    <n v="255985"/>
    <n v="11800"/>
    <n v="1810"/>
    <n v="4457.87"/>
    <n v="14297.29"/>
    <n v="4.6100000000000003"/>
    <n v="15.34"/>
    <n v="0.38"/>
    <n v="2.46"/>
    <n v="3.21"/>
    <n v="220.72"/>
  </r>
  <r>
    <s v="CMP1091"/>
    <s v="Visionary static methodology"/>
    <x v="2"/>
    <s v="Conversion"/>
    <s v="UK"/>
    <d v="2024-11-14T00:00:00"/>
    <d v="2024-12-21T00:00:00"/>
    <n v="420070"/>
    <n v="13820"/>
    <n v="783"/>
    <n v="4413.6400000000003"/>
    <n v="18822.32"/>
    <n v="3.29"/>
    <n v="5.67"/>
    <n v="0.32"/>
    <n v="5.64"/>
    <n v="4.26"/>
    <n v="326.45999999999998"/>
  </r>
  <r>
    <s v="CMP1092"/>
    <s v="Versatile explicit productivity"/>
    <x v="4"/>
    <s v="Lead Generation"/>
    <s v="USA"/>
    <d v="2024-01-07T00:00:00"/>
    <d v="2024-02-13T00:00:00"/>
    <n v="215209"/>
    <n v="6391"/>
    <n v="132"/>
    <n v="6651.94"/>
    <n v="26930.2"/>
    <n v="2.97"/>
    <n v="2.08"/>
    <n v="1.04"/>
    <n v="50.39"/>
    <n v="4.05"/>
    <n v="304.85000000000002"/>
  </r>
  <r>
    <s v="CMP1093"/>
    <s v="Optimized bandwidth-monitored capability"/>
    <x v="1"/>
    <s v="Conversion"/>
    <s v="India"/>
    <d v="2024-01-05T00:00:00"/>
    <d v="2024-02-19T00:00:00"/>
    <n v="143069"/>
    <n v="3519"/>
    <n v="393"/>
    <n v="6731.6"/>
    <n v="36493.17"/>
    <n v="2.46"/>
    <n v="11.17"/>
    <n v="1.91"/>
    <n v="17.13"/>
    <n v="5.42"/>
    <n v="442.12"/>
  </r>
  <r>
    <s v="CMP1094"/>
    <s v="Multi-layered incremental firmware"/>
    <x v="4"/>
    <s v="Retention"/>
    <s v="Australia"/>
    <d v="2024-10-17T00:00:00"/>
    <d v="2024-11-11T00:00:00"/>
    <n v="50527"/>
    <n v="1248"/>
    <n v="29"/>
    <n v="3867.32"/>
    <n v="21986.37"/>
    <n v="2.4700000000000002"/>
    <n v="2.37"/>
    <n v="3.1"/>
    <n v="133.36000000000001"/>
    <n v="5.69"/>
    <n v="468.52"/>
  </r>
  <r>
    <s v="CMP1095"/>
    <s v="Programmable executive open system"/>
    <x v="2"/>
    <s v="Lead Generation"/>
    <s v="USA"/>
    <d v="2024-06-28T00:00:00"/>
    <d v="2024-08-08T00:00:00"/>
    <n v="456457"/>
    <n v="8124"/>
    <n v="285"/>
    <n v="14042.8"/>
    <n v="56687.6"/>
    <n v="1.78"/>
    <n v="3.52"/>
    <n v="1.73"/>
    <n v="49.27"/>
    <n v="4.04"/>
    <n v="303.68"/>
  </r>
  <r>
    <s v="CMP1096"/>
    <s v="Future-proofed secondary website"/>
    <x v="4"/>
    <s v="Retention"/>
    <s v="UK"/>
    <d v="2024-09-22T00:00:00"/>
    <d v="2024-11-06T00:00:00"/>
    <n v="240992"/>
    <n v="5759"/>
    <n v="253"/>
    <n v="6264.18"/>
    <n v="21936.06"/>
    <n v="2.39"/>
    <n v="4.4000000000000004"/>
    <n v="1.0900000000000001"/>
    <n v="24.76"/>
    <n v="3.5"/>
    <n v="250.18"/>
  </r>
  <r>
    <s v="CMP1097"/>
    <s v="Advanced explicit forecast"/>
    <x v="1"/>
    <s v="Awareness"/>
    <s v="UK"/>
    <d v="2024-04-22T00:00:00"/>
    <d v="2024-05-08T00:00:00"/>
    <n v="409548"/>
    <n v="6880"/>
    <n v="652"/>
    <n v="6366.41"/>
    <n v="24487.98"/>
    <n v="1.68"/>
    <n v="9.48"/>
    <n v="0.93"/>
    <n v="9.76"/>
    <n v="3.85"/>
    <n v="284.64"/>
  </r>
  <r>
    <s v="CMP1098"/>
    <s v="Optional disintermediate collaboration"/>
    <x v="4"/>
    <s v="Retention"/>
    <s v="India"/>
    <d v="2024-02-15T00:00:00"/>
    <d v="2024-03-05T00:00:00"/>
    <n v="178119"/>
    <n v="4809"/>
    <n v="189"/>
    <n v="7884.01"/>
    <n v="23087.41"/>
    <n v="2.7"/>
    <n v="3.94"/>
    <n v="1.64"/>
    <n v="41.71"/>
    <n v="2.93"/>
    <n v="192.84"/>
  </r>
  <r>
    <s v="CMP1099"/>
    <s v="Team-oriented reciprocal Graphical User Interface"/>
    <x v="1"/>
    <s v="Awareness"/>
    <s v="UK"/>
    <d v="2024-09-26T00:00:00"/>
    <d v="2024-10-14T00:00:00"/>
    <n v="378671"/>
    <n v="7384"/>
    <n v="833"/>
    <n v="11188.31"/>
    <n v="70624.84"/>
    <n v="1.95"/>
    <n v="11.29"/>
    <n v="1.52"/>
    <n v="13.43"/>
    <n v="6.31"/>
    <n v="531.24"/>
  </r>
  <r>
    <s v="CMP1100"/>
    <s v="Cross-platform mobile open architecture"/>
    <x v="4"/>
    <s v="Conversion"/>
    <s v="UK"/>
    <d v="2024-10-23T00:00:00"/>
    <d v="2024-12-02T00:00:00"/>
    <n v="255010"/>
    <n v="6961"/>
    <n v="334"/>
    <n v="5953.09"/>
    <n v="17011.41"/>
    <n v="2.73"/>
    <n v="4.8099999999999996"/>
    <n v="0.86"/>
    <n v="17.82"/>
    <n v="2.86"/>
    <n v="185.76"/>
  </r>
  <r>
    <s v="CMP1101"/>
    <s v="Synergistic analyzing application"/>
    <x v="4"/>
    <s v="Awareness"/>
    <s v="Canada"/>
    <d v="2024-01-05T00:00:00"/>
    <d v="2024-02-12T00:00:00"/>
    <n v="466983"/>
    <n v="11114"/>
    <n v="543"/>
    <n v="12404.26"/>
    <n v="40907.24"/>
    <n v="2.38"/>
    <n v="4.8899999999999997"/>
    <n v="1.1200000000000001"/>
    <n v="22.84"/>
    <n v="3.3"/>
    <n v="229.78"/>
  </r>
  <r>
    <s v="CMP1102"/>
    <s v="Exclusive context-sensitive pricing structure"/>
    <x v="2"/>
    <s v="Retention"/>
    <s v="USA"/>
    <d v="2024-05-27T00:00:00"/>
    <d v="2024-06-07T00:00:00"/>
    <n v="324300"/>
    <n v="14269"/>
    <n v="730"/>
    <n v="12964.8"/>
    <n v="43644.77"/>
    <n v="4.4000000000000004"/>
    <n v="5.12"/>
    <n v="0.91"/>
    <n v="17.760000000000002"/>
    <n v="3.37"/>
    <n v="236.64"/>
  </r>
  <r>
    <s v="CMP1103"/>
    <s v="Inverse 6thgeneration functionalities"/>
    <x v="4"/>
    <s v="Awareness"/>
    <s v="Canada"/>
    <d v="2024-01-03T00:00:00"/>
    <d v="2024-02-06T00:00:00"/>
    <n v="71471"/>
    <n v="1265"/>
    <n v="55"/>
    <n v="4042.95"/>
    <n v="16970.88"/>
    <n v="1.77"/>
    <n v="4.3899999999999997"/>
    <n v="3.2"/>
    <n v="73.510000000000005"/>
    <n v="4.2"/>
    <n v="319.76"/>
  </r>
  <r>
    <s v="CMP1104"/>
    <s v="Multi-channeled fresh-thinking task-force"/>
    <x v="4"/>
    <s v="Awareness"/>
    <s v="India"/>
    <d v="2024-10-14T00:00:00"/>
    <d v="2024-10-30T00:00:00"/>
    <n v="181823"/>
    <n v="2836"/>
    <n v="129"/>
    <n v="12315.79"/>
    <n v="52452.57"/>
    <n v="1.56"/>
    <n v="4.58"/>
    <n v="4.34"/>
    <n v="95.47"/>
    <n v="4.26"/>
    <n v="325.89999999999998"/>
  </r>
  <r>
    <s v="CMP1105"/>
    <s v="Customer-focused non-volatile website"/>
    <x v="0"/>
    <s v="Conversion"/>
    <s v="USA"/>
    <d v="2024-08-30T00:00:00"/>
    <d v="2024-09-28T00:00:00"/>
    <n v="434330"/>
    <n v="14289"/>
    <n v="1073"/>
    <n v="6614.36"/>
    <n v="19742.939999999999"/>
    <n v="3.29"/>
    <n v="7.51"/>
    <n v="0.46"/>
    <n v="6.16"/>
    <n v="2.98"/>
    <n v="198.49"/>
  </r>
  <r>
    <s v="CMP1106"/>
    <s v="Centralized 3rdgeneration methodology"/>
    <x v="2"/>
    <s v="Retention"/>
    <s v="Canada"/>
    <d v="2024-06-08T00:00:00"/>
    <d v="2024-06-26T00:00:00"/>
    <n v="259250"/>
    <n v="11407"/>
    <n v="284"/>
    <n v="6918.91"/>
    <n v="23241.32"/>
    <n v="4.4000000000000004"/>
    <n v="2.4900000000000002"/>
    <n v="0.61"/>
    <n v="24.36"/>
    <n v="3.36"/>
    <n v="235.91"/>
  </r>
  <r>
    <s v="CMP1107"/>
    <s v="Seamless discrete groupware"/>
    <x v="3"/>
    <s v="Retention"/>
    <s v="UK"/>
    <d v="2024-10-10T00:00:00"/>
    <d v="2024-10-29T00:00:00"/>
    <n v="471726"/>
    <n v="35237"/>
    <n v="5225"/>
    <n v="1397.78"/>
    <n v="3649.06"/>
    <n v="7.47"/>
    <n v="14.83"/>
    <n v="0.04"/>
    <n v="0.27"/>
    <n v="2.61"/>
    <n v="161.06"/>
  </r>
  <r>
    <s v="CMP1108"/>
    <s v="Compatible disintermediate toolset"/>
    <x v="4"/>
    <s v="Conversion"/>
    <s v="India"/>
    <d v="2024-08-11T00:00:00"/>
    <d v="2024-08-24T00:00:00"/>
    <n v="205888"/>
    <n v="5497"/>
    <n v="203"/>
    <n v="9322.8799999999992"/>
    <n v="34418.639999999999"/>
    <n v="2.67"/>
    <n v="3.7"/>
    <n v="1.7"/>
    <n v="45.93"/>
    <n v="3.69"/>
    <n v="269.18"/>
  </r>
  <r>
    <s v="CMP1109"/>
    <s v="Function-based directional moderator"/>
    <x v="2"/>
    <s v="Retention"/>
    <s v="UK"/>
    <d v="2024-08-03T00:00:00"/>
    <d v="2024-09-05T00:00:00"/>
    <n v="314144"/>
    <n v="13508"/>
    <n v="751"/>
    <n v="10025.68"/>
    <n v="39345.89"/>
    <n v="4.3"/>
    <n v="5.56"/>
    <n v="0.74"/>
    <n v="13.35"/>
    <n v="3.92"/>
    <n v="292.45"/>
  </r>
  <r>
    <s v="CMP1110"/>
    <s v="Automated real-time application"/>
    <x v="1"/>
    <s v="Awareness"/>
    <s v="Australia"/>
    <d v="2024-06-03T00:00:00"/>
    <d v="2024-06-25T00:00:00"/>
    <n v="63852"/>
    <n v="1551"/>
    <n v="123"/>
    <n v="16093.7"/>
    <n v="76741.820000000007"/>
    <n v="2.4300000000000002"/>
    <n v="7.95"/>
    <n v="10.38"/>
    <n v="130.84"/>
    <n v="4.7699999999999996"/>
    <n v="376.84"/>
  </r>
  <r>
    <s v="CMP1111"/>
    <s v="Implemented optimizing database"/>
    <x v="3"/>
    <s v="Conversion"/>
    <s v="USA"/>
    <d v="2024-07-20T00:00:00"/>
    <d v="2024-08-04T00:00:00"/>
    <n v="375525"/>
    <n v="27263"/>
    <n v="3724"/>
    <n v="1820.04"/>
    <n v="9826.41"/>
    <n v="7.26"/>
    <n v="13.66"/>
    <n v="7.0000000000000007E-2"/>
    <n v="0.49"/>
    <n v="5.4"/>
    <n v="439.9"/>
  </r>
  <r>
    <s v="CMP1112"/>
    <s v="Profit-focused hybrid matrix"/>
    <x v="1"/>
    <s v="Awareness"/>
    <s v="Canada"/>
    <d v="2024-05-18T00:00:00"/>
    <d v="2024-05-31T00:00:00"/>
    <n v="473352"/>
    <n v="9940"/>
    <n v="857"/>
    <n v="17427.169999999998"/>
    <n v="41493.5"/>
    <n v="2.1"/>
    <n v="8.6300000000000008"/>
    <n v="1.75"/>
    <n v="20.34"/>
    <n v="2.38"/>
    <n v="138.1"/>
  </r>
  <r>
    <s v="CMP1113"/>
    <s v="Implemented local projection"/>
    <x v="4"/>
    <s v="Awareness"/>
    <s v="UK"/>
    <d v="2024-09-18T00:00:00"/>
    <d v="2024-09-28T00:00:00"/>
    <n v="346455"/>
    <n v="8488"/>
    <n v="225"/>
    <n v="3260.81"/>
    <n v="17387.060000000001"/>
    <n v="2.4500000000000002"/>
    <n v="2.66"/>
    <n v="0.38"/>
    <n v="14.49"/>
    <n v="5.33"/>
    <n v="433.21"/>
  </r>
  <r>
    <s v="CMP1114"/>
    <s v="Extended composite frame"/>
    <x v="2"/>
    <s v="Lead Generation"/>
    <s v="Australia"/>
    <d v="2024-03-20T00:00:00"/>
    <d v="2024-04-15T00:00:00"/>
    <n v="438195"/>
    <n v="19280"/>
    <n v="516"/>
    <n v="16425.79"/>
    <n v="80133.320000000007"/>
    <n v="4.4000000000000004"/>
    <n v="2.68"/>
    <n v="0.85"/>
    <n v="31.83"/>
    <n v="4.88"/>
    <n v="387.85"/>
  </r>
  <r>
    <s v="CMP1115"/>
    <s v="Profit-focused cohesive orchestration"/>
    <x v="4"/>
    <s v="Awareness"/>
    <s v="Canada"/>
    <d v="2024-03-02T00:00:00"/>
    <d v="2024-04-11T00:00:00"/>
    <n v="376979"/>
    <n v="11271"/>
    <n v="214"/>
    <n v="2500.4499999999998"/>
    <n v="11794.77"/>
    <n v="2.99"/>
    <n v="1.9"/>
    <n v="0.22"/>
    <n v="11.68"/>
    <n v="4.72"/>
    <n v="371.71"/>
  </r>
  <r>
    <s v="CMP1116"/>
    <s v="Up-sized web-enabled hardware"/>
    <x v="0"/>
    <s v="Lead Generation"/>
    <s v="USA"/>
    <d v="2024-03-03T00:00:00"/>
    <d v="2024-03-29T00:00:00"/>
    <n v="104319"/>
    <n v="4579"/>
    <n v="412"/>
    <n v="13876.32"/>
    <n v="31227.81"/>
    <n v="4.3899999999999997"/>
    <n v="9"/>
    <n v="3.03"/>
    <n v="33.68"/>
    <n v="2.25"/>
    <n v="125.04"/>
  </r>
  <r>
    <s v="CMP1117"/>
    <s v="Assimilated bandwidth-monitored capacity"/>
    <x v="1"/>
    <s v="Retention"/>
    <s v="USA"/>
    <d v="2024-08-12T00:00:00"/>
    <d v="2024-08-26T00:00:00"/>
    <n v="480058"/>
    <n v="5760"/>
    <n v="629"/>
    <n v="8164.34"/>
    <n v="38841.199999999997"/>
    <n v="1.2"/>
    <n v="10.93"/>
    <n v="1.42"/>
    <n v="12.98"/>
    <n v="4.76"/>
    <n v="375.74"/>
  </r>
  <r>
    <s v="CMP1118"/>
    <s v="Programmable 6thgeneration moderator"/>
    <x v="1"/>
    <s v="Lead Generation"/>
    <s v="India"/>
    <d v="2024-10-06T00:00:00"/>
    <d v="2024-10-25T00:00:00"/>
    <n v="146892"/>
    <n v="1527"/>
    <n v="155"/>
    <n v="7850.91"/>
    <n v="33773.18"/>
    <n v="1.04"/>
    <n v="10.210000000000001"/>
    <n v="5.14"/>
    <n v="50.65"/>
    <n v="4.3"/>
    <n v="330.18"/>
  </r>
  <r>
    <s v="CMP1119"/>
    <s v="De-engineered responsive artificial intelligence"/>
    <x v="1"/>
    <s v="Retention"/>
    <s v="UK"/>
    <d v="2024-07-19T00:00:00"/>
    <d v="2024-08-19T00:00:00"/>
    <n v="201754"/>
    <n v="3893"/>
    <n v="455"/>
    <n v="11887.43"/>
    <n v="59492.41"/>
    <n v="1.93"/>
    <n v="11.71"/>
    <n v="3.05"/>
    <n v="26.13"/>
    <n v="5"/>
    <n v="400.46"/>
  </r>
  <r>
    <s v="CMP1120"/>
    <s v="Devolved 5thgeneration moratorium"/>
    <x v="0"/>
    <s v="Retention"/>
    <s v="Canada"/>
    <d v="2024-01-06T00:00:00"/>
    <d v="2024-02-19T00:00:00"/>
    <n v="476504"/>
    <n v="20013"/>
    <n v="834"/>
    <n v="14141.65"/>
    <n v="64188.11"/>
    <n v="4.2"/>
    <n v="4.17"/>
    <n v="0.71"/>
    <n v="16.96"/>
    <n v="4.54"/>
    <n v="353.89"/>
  </r>
  <r>
    <s v="CMP1121"/>
    <s v="Enterprise-wide 5thgeneration ability"/>
    <x v="4"/>
    <s v="Awareness"/>
    <s v="Australia"/>
    <d v="2024-08-22T00:00:00"/>
    <d v="2024-09-15T00:00:00"/>
    <n v="283035"/>
    <n v="3707"/>
    <n v="173"/>
    <n v="14534.96"/>
    <n v="59674.47"/>
    <n v="1.31"/>
    <n v="4.67"/>
    <n v="3.92"/>
    <n v="84.02"/>
    <n v="4.1100000000000003"/>
    <n v="310.56"/>
  </r>
  <r>
    <s v="CMP1122"/>
    <s v="Stand-alone content-based installation"/>
    <x v="0"/>
    <s v="Lead Generation"/>
    <s v="UK"/>
    <d v="2024-07-18T00:00:00"/>
    <d v="2024-08-26T00:00:00"/>
    <n v="312478"/>
    <n v="18498"/>
    <n v="1298"/>
    <n v="11976.68"/>
    <n v="62015.38"/>
    <n v="5.92"/>
    <n v="7.02"/>
    <n v="0.65"/>
    <n v="9.23"/>
    <n v="5.18"/>
    <n v="417.8"/>
  </r>
  <r>
    <s v="CMP1123"/>
    <s v="Digitized didactic synergy"/>
    <x v="0"/>
    <s v="Lead Generation"/>
    <s v="USA"/>
    <d v="2024-03-12T00:00:00"/>
    <d v="2024-04-05T00:00:00"/>
    <n v="234479"/>
    <n v="12005"/>
    <n v="885"/>
    <n v="14189.63"/>
    <n v="83207.81"/>
    <n v="5.12"/>
    <n v="7.38"/>
    <n v="1.18"/>
    <n v="16.03"/>
    <n v="5.86"/>
    <n v="486.4"/>
  </r>
  <r>
    <s v="CMP1124"/>
    <s v="Multi-channeled human-resource frame"/>
    <x v="4"/>
    <s v="Retention"/>
    <s v="India"/>
    <d v="2024-10-21T00:00:00"/>
    <d v="2024-11-29T00:00:00"/>
    <n v="490048"/>
    <n v="14113"/>
    <n v="397"/>
    <n v="8396.9"/>
    <n v="41693.74"/>
    <n v="2.88"/>
    <n v="2.82"/>
    <n v="0.59"/>
    <n v="21.15"/>
    <n v="4.97"/>
    <n v="396.54"/>
  </r>
  <r>
    <s v="CMP1125"/>
    <s v="Balanced multimedia forecast"/>
    <x v="3"/>
    <s v="Conversion"/>
    <s v="USA"/>
    <d v="2024-07-25T00:00:00"/>
    <d v="2024-08-05T00:00:00"/>
    <n v="415831"/>
    <n v="24700"/>
    <n v="4334"/>
    <n v="2066.4299999999998"/>
    <n v="9874.7199999999993"/>
    <n v="5.94"/>
    <n v="17.55"/>
    <n v="0.08"/>
    <n v="0.48"/>
    <n v="4.78"/>
    <n v="377.86"/>
  </r>
  <r>
    <s v="CMP1126"/>
    <s v="Extended intermediate project"/>
    <x v="0"/>
    <s v="Awareness"/>
    <s v="USA"/>
    <d v="2024-04-28T00:00:00"/>
    <d v="2024-05-20T00:00:00"/>
    <n v="171479"/>
    <n v="4955"/>
    <n v="229"/>
    <n v="23684.68"/>
    <n v="98145.96"/>
    <n v="2.89"/>
    <n v="4.6399999999999997"/>
    <n v="4.78"/>
    <n v="103.43"/>
    <n v="4.1399999999999997"/>
    <n v="314.39"/>
  </r>
  <r>
    <s v="CMP1127"/>
    <s v="Re-engineered system-worthy workforce"/>
    <x v="0"/>
    <s v="Lead Generation"/>
    <s v="Canada"/>
    <d v="2024-01-20T00:00:00"/>
    <d v="2024-01-31T00:00:00"/>
    <n v="446264"/>
    <n v="28516"/>
    <n v="2717"/>
    <n v="6238.53"/>
    <n v="19508.990000000002"/>
    <n v="6.39"/>
    <n v="9.5299999999999994"/>
    <n v="0.22"/>
    <n v="2.2999999999999998"/>
    <n v="3.13"/>
    <n v="212.72"/>
  </r>
  <r>
    <s v="CMP1128"/>
    <s v="Synchronized homogeneous leverage"/>
    <x v="1"/>
    <s v="Conversion"/>
    <s v="Australia"/>
    <d v="2024-07-12T00:00:00"/>
    <d v="2024-07-27T00:00:00"/>
    <n v="380979"/>
    <n v="8495"/>
    <n v="973"/>
    <n v="9138.5499999999993"/>
    <n v="47011.13"/>
    <n v="2.23"/>
    <n v="11.46"/>
    <n v="1.08"/>
    <n v="9.39"/>
    <n v="5.14"/>
    <n v="414.43"/>
  </r>
  <r>
    <s v="CMP1129"/>
    <s v="Customizable zero tolerance architecture"/>
    <x v="3"/>
    <s v="Lead Generation"/>
    <s v="USA"/>
    <d v="2024-08-10T00:00:00"/>
    <d v="2024-09-19T00:00:00"/>
    <n v="182380"/>
    <n v="12675"/>
    <n v="1874"/>
    <n v="1514.73"/>
    <n v="8088.19"/>
    <n v="6.95"/>
    <n v="14.79"/>
    <n v="0.12"/>
    <n v="0.81"/>
    <n v="5.34"/>
    <n v="433.97"/>
  </r>
  <r>
    <s v="CMP1130"/>
    <s v="Synergized leadingedge pricing structure"/>
    <x v="2"/>
    <s v="Awareness"/>
    <s v="Australia"/>
    <d v="2024-01-03T00:00:00"/>
    <d v="2024-02-02T00:00:00"/>
    <n v="62710"/>
    <n v="2125"/>
    <n v="113"/>
    <n v="6053.09"/>
    <n v="34169.93"/>
    <n v="3.39"/>
    <n v="5.34"/>
    <n v="2.85"/>
    <n v="53.57"/>
    <n v="5.65"/>
    <n v="464.5"/>
  </r>
  <r>
    <s v="CMP1131"/>
    <s v="Grass-roots grid-enabled help-desk"/>
    <x v="1"/>
    <s v="Awareness"/>
    <s v="UK"/>
    <d v="2024-04-07T00:00:00"/>
    <d v="2024-04-27T00:00:00"/>
    <n v="147152"/>
    <n v="2884"/>
    <n v="337"/>
    <n v="15652.54"/>
    <n v="68506.399999999994"/>
    <n v="1.96"/>
    <n v="11.7"/>
    <n v="5.43"/>
    <n v="46.45"/>
    <n v="4.38"/>
    <n v="337.67"/>
  </r>
  <r>
    <s v="CMP1132"/>
    <s v="Persevering holistic circuit"/>
    <x v="3"/>
    <s v="Retention"/>
    <s v="Australia"/>
    <d v="2024-08-12T00:00:00"/>
    <d v="2024-09-15T00:00:00"/>
    <n v="234604"/>
    <n v="14404"/>
    <n v="2448"/>
    <n v="4340.3999999999996"/>
    <n v="24337.41"/>
    <n v="6.14"/>
    <n v="17"/>
    <n v="0.3"/>
    <n v="1.77"/>
    <n v="5.61"/>
    <n v="460.72"/>
  </r>
  <r>
    <s v="CMP1133"/>
    <s v="Future-proofed attitude-oriented intranet"/>
    <x v="1"/>
    <s v="Awareness"/>
    <s v="Australia"/>
    <d v="2024-01-27T00:00:00"/>
    <d v="2024-03-12T00:00:00"/>
    <n v="90969"/>
    <n v="927"/>
    <n v="79"/>
    <n v="5614.61"/>
    <n v="23829.56"/>
    <n v="1.02"/>
    <n v="8.6199999999999992"/>
    <n v="6.06"/>
    <n v="71.069999999999993"/>
    <n v="4.24"/>
    <n v="324.42"/>
  </r>
  <r>
    <s v="CMP1134"/>
    <s v="Multi-channeled exuding encryption"/>
    <x v="3"/>
    <s v="Conversion"/>
    <s v="India"/>
    <d v="2024-07-02T00:00:00"/>
    <d v="2024-07-13T00:00:00"/>
    <n v="167451"/>
    <n v="14953"/>
    <n v="1629"/>
    <n v="4226.67"/>
    <n v="15879.26"/>
    <n v="8.93"/>
    <n v="10.9"/>
    <n v="0.28000000000000003"/>
    <n v="2.59"/>
    <n v="3.76"/>
    <n v="275.69"/>
  </r>
  <r>
    <s v="CMP1135"/>
    <s v="Optimized multi-state installation"/>
    <x v="2"/>
    <s v="Conversion"/>
    <s v="India"/>
    <d v="2024-07-23T00:00:00"/>
    <d v="2024-08-02T00:00:00"/>
    <n v="330191"/>
    <n v="10665"/>
    <n v="668"/>
    <n v="16977.14"/>
    <n v="72156.44"/>
    <n v="3.23"/>
    <n v="6.27"/>
    <n v="1.59"/>
    <n v="25.41"/>
    <n v="4.25"/>
    <n v="325.02"/>
  </r>
  <r>
    <s v="CMP1136"/>
    <s v="Proactive radical array"/>
    <x v="3"/>
    <s v="Awareness"/>
    <s v="Australia"/>
    <d v="2024-08-03T00:00:00"/>
    <d v="2024-08-26T00:00:00"/>
    <n v="296928"/>
    <n v="28564"/>
    <n v="5098"/>
    <n v="3439.54"/>
    <n v="7378.63"/>
    <n v="9.6199999999999992"/>
    <n v="17.850000000000001"/>
    <n v="0.12"/>
    <n v="0.67"/>
    <n v="2.15"/>
    <n v="114.52"/>
  </r>
  <r>
    <s v="CMP1137"/>
    <s v="Integrated secondary encoding"/>
    <x v="2"/>
    <s v="Conversion"/>
    <s v="India"/>
    <d v="2024-02-01T00:00:00"/>
    <d v="2024-02-23T00:00:00"/>
    <n v="123027"/>
    <n v="2595"/>
    <n v="157"/>
    <n v="7944.14"/>
    <n v="42962.32"/>
    <n v="2.11"/>
    <n v="6.08"/>
    <n v="3.06"/>
    <n v="50.6"/>
    <n v="5.41"/>
    <n v="440.81"/>
  </r>
  <r>
    <s v="CMP1138"/>
    <s v="Networked multi-state array"/>
    <x v="1"/>
    <s v="Awareness"/>
    <s v="Australia"/>
    <d v="2024-08-01T00:00:00"/>
    <d v="2024-09-15T00:00:00"/>
    <n v="369816"/>
    <n v="7396"/>
    <n v="766"/>
    <n v="4565.79"/>
    <n v="29288.41"/>
    <n v="2"/>
    <n v="10.36"/>
    <n v="0.62"/>
    <n v="5.96"/>
    <n v="6.41"/>
    <n v="541.48"/>
  </r>
  <r>
    <s v="CMP1139"/>
    <s v="Integrated system-worthy open architecture"/>
    <x v="3"/>
    <s v="Awareness"/>
    <s v="Australia"/>
    <d v="2024-09-16T00:00:00"/>
    <d v="2024-10-07T00:00:00"/>
    <n v="301014"/>
    <n v="29138"/>
    <n v="3120"/>
    <n v="687.83"/>
    <n v="1485.85"/>
    <n v="9.68"/>
    <n v="10.71"/>
    <n v="0.02"/>
    <n v="0.22"/>
    <n v="2.16"/>
    <n v="116.02"/>
  </r>
  <r>
    <s v="CMP1140"/>
    <s v="Vision-oriented clear-thinking time-frame"/>
    <x v="4"/>
    <s v="Retention"/>
    <s v="Canada"/>
    <d v="2024-01-14T00:00:00"/>
    <d v="2024-02-02T00:00:00"/>
    <n v="209078"/>
    <n v="6753"/>
    <n v="308"/>
    <n v="5346.94"/>
    <n v="33100.82"/>
    <n v="3.23"/>
    <n v="4.57"/>
    <n v="0.79"/>
    <n v="17.36"/>
    <n v="6.19"/>
    <n v="519.05999999999995"/>
  </r>
  <r>
    <s v="CMP1141"/>
    <s v="Down-sized uniform archive"/>
    <x v="3"/>
    <s v="Retention"/>
    <s v="India"/>
    <d v="2024-08-06T00:00:00"/>
    <d v="2024-09-17T00:00:00"/>
    <n v="339667"/>
    <n v="23403"/>
    <n v="2777"/>
    <n v="2197.5300000000002"/>
    <n v="5633.52"/>
    <n v="6.89"/>
    <n v="11.87"/>
    <n v="0.09"/>
    <n v="0.79"/>
    <n v="2.56"/>
    <n v="156.36000000000001"/>
  </r>
  <r>
    <s v="CMP1142"/>
    <s v="Front-line contextually-based extranet"/>
    <x v="2"/>
    <s v="Awareness"/>
    <s v="Canada"/>
    <d v="2024-08-11T00:00:00"/>
    <d v="2024-08-21T00:00:00"/>
    <n v="111862"/>
    <n v="4687"/>
    <n v="323"/>
    <n v="8515.6299999999992"/>
    <n v="24451.83"/>
    <n v="4.1900000000000004"/>
    <n v="6.91"/>
    <n v="1.82"/>
    <n v="26.36"/>
    <n v="2.87"/>
    <n v="187.14"/>
  </r>
  <r>
    <s v="CMP1143"/>
    <s v="Virtual heuristic database"/>
    <x v="2"/>
    <s v="Lead Generation"/>
    <s v="India"/>
    <d v="2024-10-01T00:00:00"/>
    <d v="2024-11-13T00:00:00"/>
    <n v="358605"/>
    <n v="5486"/>
    <n v="223"/>
    <n v="14288.54"/>
    <n v="80513.17"/>
    <n v="1.53"/>
    <n v="4.07"/>
    <n v="2.6"/>
    <n v="64.069999999999993"/>
    <n v="5.63"/>
    <n v="463.48"/>
  </r>
  <r>
    <s v="CMP1144"/>
    <s v="Progressive zero administration info-mediaries"/>
    <x v="0"/>
    <s v="Awareness"/>
    <s v="USA"/>
    <d v="2024-06-09T00:00:00"/>
    <d v="2024-07-08T00:00:00"/>
    <n v="476047"/>
    <n v="12996"/>
    <n v="564"/>
    <n v="13771.12"/>
    <n v="45054.720000000001"/>
    <n v="2.73"/>
    <n v="4.34"/>
    <n v="1.06"/>
    <n v="24.42"/>
    <n v="3.27"/>
    <n v="227.17"/>
  </r>
  <r>
    <s v="CMP1145"/>
    <s v="Seamless analyzing complexity"/>
    <x v="3"/>
    <s v="Lead Generation"/>
    <s v="UK"/>
    <d v="2024-05-08T00:00:00"/>
    <d v="2024-06-18T00:00:00"/>
    <n v="118008"/>
    <n v="9015"/>
    <n v="1153"/>
    <n v="1050.69"/>
    <n v="2464.52"/>
    <n v="7.64"/>
    <n v="12.79"/>
    <n v="0.12"/>
    <n v="0.91"/>
    <n v="2.35"/>
    <n v="134.56"/>
  </r>
  <r>
    <s v="CMP1146"/>
    <s v="Diverse scalable algorithm"/>
    <x v="2"/>
    <s v="Retention"/>
    <s v="UK"/>
    <d v="2024-05-05T00:00:00"/>
    <d v="2024-06-14T00:00:00"/>
    <n v="165493"/>
    <n v="4683"/>
    <n v="164"/>
    <n v="8504"/>
    <n v="38109.199999999997"/>
    <n v="2.83"/>
    <n v="3.51"/>
    <n v="1.82"/>
    <n v="51.85"/>
    <n v="4.4800000000000004"/>
    <n v="348.13"/>
  </r>
  <r>
    <s v="CMP1147"/>
    <s v="Innovative composite implementation"/>
    <x v="4"/>
    <s v="Conversion"/>
    <s v="Australia"/>
    <d v="2024-09-05T00:00:00"/>
    <d v="2024-09-29T00:00:00"/>
    <n v="313950"/>
    <n v="4615"/>
    <n v="125"/>
    <n v="7635.42"/>
    <n v="47931.62"/>
    <n v="1.47"/>
    <n v="2.71"/>
    <n v="1.65"/>
    <n v="61.08"/>
    <n v="6.28"/>
    <n v="527.75"/>
  </r>
  <r>
    <s v="CMP1148"/>
    <s v="Implemented responsive capability"/>
    <x v="0"/>
    <s v="Lead Generation"/>
    <s v="USA"/>
    <d v="2024-07-09T00:00:00"/>
    <d v="2024-07-25T00:00:00"/>
    <n v="491149"/>
    <n v="31433"/>
    <n v="1691"/>
    <n v="19838.169999999998"/>
    <n v="58492.12"/>
    <n v="6.4"/>
    <n v="5.38"/>
    <n v="0.63"/>
    <n v="11.73"/>
    <n v="2.95"/>
    <n v="194.85"/>
  </r>
  <r>
    <s v="CMP1149"/>
    <s v="Total value-added open system"/>
    <x v="0"/>
    <s v="Lead Generation"/>
    <s v="Canada"/>
    <d v="2024-05-18T00:00:00"/>
    <d v="2024-06-11T00:00:00"/>
    <n v="390739"/>
    <n v="21725"/>
    <n v="2111"/>
    <n v="5425.79"/>
    <n v="31271.34"/>
    <n v="5.56"/>
    <n v="9.7200000000000006"/>
    <n v="0.25"/>
    <n v="2.57"/>
    <n v="5.76"/>
    <n v="476.35"/>
  </r>
  <r>
    <s v="CMP1150"/>
    <s v="Devolved client-driven flexibility"/>
    <x v="3"/>
    <s v="Retention"/>
    <s v="UK"/>
    <d v="2024-01-10T00:00:00"/>
    <d v="2024-02-10T00:00:00"/>
    <n v="483679"/>
    <n v="47352"/>
    <n v="4072"/>
    <n v="4345.58"/>
    <n v="16199.08"/>
    <n v="9.7899999999999991"/>
    <n v="8.6"/>
    <n v="0.09"/>
    <n v="1.07"/>
    <n v="3.73"/>
    <n v="272.77"/>
  </r>
  <r>
    <s v="CMP1151"/>
    <s v="Expanded heuristic strategy"/>
    <x v="1"/>
    <s v="Retention"/>
    <s v="India"/>
    <d v="2024-06-05T00:00:00"/>
    <d v="2024-06-14T00:00:00"/>
    <n v="167675"/>
    <n v="1928"/>
    <n v="121"/>
    <n v="10897.36"/>
    <n v="24357.439999999999"/>
    <n v="1.1499999999999999"/>
    <n v="6.29"/>
    <n v="5.65"/>
    <n v="90.06"/>
    <n v="2.2400000000000002"/>
    <n v="123.52"/>
  </r>
  <r>
    <s v="CMP1152"/>
    <s v="Implemented even-keeled secured line"/>
    <x v="3"/>
    <s v="Conversion"/>
    <s v="India"/>
    <d v="2024-10-29T00:00:00"/>
    <d v="2024-11-18T00:00:00"/>
    <n v="369154"/>
    <n v="31488"/>
    <n v="3577"/>
    <n v="4226.71"/>
    <n v="13446.84"/>
    <n v="8.5299999999999994"/>
    <n v="11.36"/>
    <n v="0.13"/>
    <n v="1.18"/>
    <n v="3.18"/>
    <n v="218.14"/>
  </r>
  <r>
    <s v="CMP1153"/>
    <s v="Configurable multimedia installation"/>
    <x v="0"/>
    <s v="Conversion"/>
    <s v="Australia"/>
    <d v="2024-02-25T00:00:00"/>
    <d v="2024-04-07T00:00:00"/>
    <n v="277580"/>
    <n v="16543"/>
    <n v="1439"/>
    <n v="23571.33"/>
    <n v="126950.55"/>
    <n v="5.96"/>
    <n v="8.6999999999999993"/>
    <n v="1.42"/>
    <n v="16.38"/>
    <n v="5.39"/>
    <n v="438.58"/>
  </r>
  <r>
    <s v="CMP1154"/>
    <s v="De-engineered intangible concept"/>
    <x v="1"/>
    <s v="Conversion"/>
    <s v="Australia"/>
    <d v="2024-07-14T00:00:00"/>
    <d v="2024-08-19T00:00:00"/>
    <n v="293008"/>
    <n v="4453"/>
    <n v="446"/>
    <n v="16304.2"/>
    <n v="51691.7"/>
    <n v="1.52"/>
    <n v="10.029999999999999"/>
    <n v="3.66"/>
    <n v="36.56"/>
    <n v="3.17"/>
    <n v="217.05"/>
  </r>
  <r>
    <s v="CMP1155"/>
    <s v="Future-proofed real-time functionalities"/>
    <x v="2"/>
    <s v="Lead Generation"/>
    <s v="India"/>
    <d v="2024-10-04T00:00:00"/>
    <d v="2024-10-29T00:00:00"/>
    <n v="197167"/>
    <n v="7689"/>
    <n v="519"/>
    <n v="4283.05"/>
    <n v="13383.23"/>
    <n v="3.9"/>
    <n v="6.75"/>
    <n v="0.56000000000000005"/>
    <n v="8.25"/>
    <n v="3.12"/>
    <n v="212.47"/>
  </r>
  <r>
    <s v="CMP1156"/>
    <s v="Adaptive methodical data-warehouse"/>
    <x v="4"/>
    <s v="Retention"/>
    <s v="India"/>
    <d v="2024-11-07T00:00:00"/>
    <d v="2024-11-14T00:00:00"/>
    <n v="372724"/>
    <n v="7119"/>
    <n v="173"/>
    <n v="5631.42"/>
    <n v="27811.56"/>
    <n v="1.91"/>
    <n v="2.44"/>
    <n v="0.79"/>
    <n v="32.549999999999997"/>
    <n v="4.9400000000000004"/>
    <n v="393.86"/>
  </r>
  <r>
    <s v="CMP1157"/>
    <s v="Open-architected zero-defect moderator"/>
    <x v="0"/>
    <s v="Conversion"/>
    <s v="Australia"/>
    <d v="2024-08-13T00:00:00"/>
    <d v="2024-08-20T00:00:00"/>
    <n v="396437"/>
    <n v="14985"/>
    <n v="837"/>
    <n v="8575.69"/>
    <n v="35008.19"/>
    <n v="3.78"/>
    <n v="5.59"/>
    <n v="0.56999999999999995"/>
    <n v="10.25"/>
    <n v="4.08"/>
    <n v="308.23"/>
  </r>
  <r>
    <s v="CMP1158"/>
    <s v="Multi-layered systematic approach"/>
    <x v="1"/>
    <s v="Awareness"/>
    <s v="UK"/>
    <d v="2024-02-10T00:00:00"/>
    <d v="2024-03-05T00:00:00"/>
    <n v="301767"/>
    <n v="5673"/>
    <n v="504"/>
    <n v="10537.77"/>
    <n v="48558.74"/>
    <n v="1.88"/>
    <n v="8.9"/>
    <n v="1.86"/>
    <n v="20.91"/>
    <n v="4.6100000000000003"/>
    <n v="360.81"/>
  </r>
  <r>
    <s v="CMP1159"/>
    <s v="Inverse 24hour process improvement"/>
    <x v="3"/>
    <s v="Conversion"/>
    <s v="India"/>
    <d v="2024-03-06T00:00:00"/>
    <d v="2024-03-27T00:00:00"/>
    <n v="280917"/>
    <n v="14270"/>
    <n v="2234"/>
    <n v="1742.65"/>
    <n v="10300.370000000001"/>
    <n v="5.08"/>
    <n v="15.66"/>
    <n v="0.12"/>
    <n v="0.78"/>
    <n v="5.91"/>
    <n v="491.08"/>
  </r>
  <r>
    <s v="CMP1160"/>
    <s v="Mandatory uniform initiative"/>
    <x v="2"/>
    <s v="Lead Generation"/>
    <s v="Australia"/>
    <d v="2024-08-13T00:00:00"/>
    <d v="2024-09-26T00:00:00"/>
    <n v="393921"/>
    <n v="6499"/>
    <n v="167"/>
    <n v="3577.53"/>
    <n v="18173.8"/>
    <n v="1.65"/>
    <n v="2.57"/>
    <n v="0.55000000000000004"/>
    <n v="21.42"/>
    <n v="5.08"/>
    <n v="408"/>
  </r>
  <r>
    <s v="CMP1161"/>
    <s v="Extended modular strategy"/>
    <x v="4"/>
    <s v="Awareness"/>
    <s v="Australia"/>
    <d v="2024-01-09T00:00:00"/>
    <d v="2024-02-07T00:00:00"/>
    <n v="426102"/>
    <n v="7627"/>
    <n v="368"/>
    <n v="14899.64"/>
    <n v="95190.38"/>
    <n v="1.79"/>
    <n v="4.83"/>
    <n v="1.95"/>
    <n v="40.49"/>
    <n v="6.39"/>
    <n v="538.88"/>
  </r>
  <r>
    <s v="CMP1162"/>
    <s v="Cross-platform neutral open architecture"/>
    <x v="3"/>
    <s v="Awareness"/>
    <s v="Australia"/>
    <d v="2024-05-01T00:00:00"/>
    <d v="2024-05-21T00:00:00"/>
    <n v="173048"/>
    <n v="10555"/>
    <n v="925"/>
    <n v="2497.16"/>
    <n v="10736.94"/>
    <n v="6.1"/>
    <n v="8.77"/>
    <n v="0.24"/>
    <n v="2.7"/>
    <n v="4.3"/>
    <n v="329.97"/>
  </r>
  <r>
    <s v="CMP1163"/>
    <s v="Automated coherent alliance"/>
    <x v="4"/>
    <s v="Conversion"/>
    <s v="Canada"/>
    <d v="2024-07-03T00:00:00"/>
    <d v="2024-07-31T00:00:00"/>
    <n v="87430"/>
    <n v="2509"/>
    <n v="114"/>
    <n v="4288.49"/>
    <n v="14878.63"/>
    <n v="2.87"/>
    <n v="4.57"/>
    <n v="1.71"/>
    <n v="37.619999999999997"/>
    <n v="3.47"/>
    <n v="246.94"/>
  </r>
  <r>
    <s v="CMP1164"/>
    <s v="Sharable incremental core"/>
    <x v="1"/>
    <s v="Conversion"/>
    <s v="Canada"/>
    <d v="2024-10-29T00:00:00"/>
    <d v="2024-11-06T00:00:00"/>
    <n v="204173"/>
    <n v="3797"/>
    <n v="232"/>
    <n v="4713.7700000000004"/>
    <n v="29161.21"/>
    <n v="1.86"/>
    <n v="6.12"/>
    <n v="1.24"/>
    <n v="20.32"/>
    <n v="6.19"/>
    <n v="518.64"/>
  </r>
  <r>
    <s v="CMP1165"/>
    <s v="Expanded empowering project"/>
    <x v="0"/>
    <s v="Lead Generation"/>
    <s v="UK"/>
    <d v="2024-04-20T00:00:00"/>
    <d v="2024-05-21T00:00:00"/>
    <n v="317804"/>
    <n v="17034"/>
    <n v="1439"/>
    <n v="20669.34"/>
    <n v="107641.4"/>
    <n v="5.36"/>
    <n v="8.4499999999999993"/>
    <n v="1.21"/>
    <n v="14.36"/>
    <n v="5.21"/>
    <n v="420.78"/>
  </r>
  <r>
    <s v="CMP1166"/>
    <s v="Diverse multi-tasking framework"/>
    <x v="3"/>
    <s v="Awareness"/>
    <s v="USA"/>
    <d v="2024-04-24T00:00:00"/>
    <d v="2024-06-06T00:00:00"/>
    <n v="249800"/>
    <n v="21432"/>
    <n v="3105"/>
    <n v="4798.3100000000004"/>
    <n v="30295.63"/>
    <n v="8.58"/>
    <n v="14.49"/>
    <n v="0.22"/>
    <n v="1.55"/>
    <n v="6.31"/>
    <n v="531.38"/>
  </r>
  <r>
    <s v="CMP1167"/>
    <s v="Inverse client-driven algorithm"/>
    <x v="3"/>
    <s v="Retention"/>
    <s v="Australia"/>
    <d v="2024-09-25T00:00:00"/>
    <d v="2024-11-04T00:00:00"/>
    <n v="434327"/>
    <n v="20543"/>
    <n v="3447"/>
    <n v="4091.92"/>
    <n v="19362.8"/>
    <n v="4.7300000000000004"/>
    <n v="16.78"/>
    <n v="0.2"/>
    <n v="1.19"/>
    <n v="4.7300000000000004"/>
    <n v="373.2"/>
  </r>
  <r>
    <s v="CMP1168"/>
    <s v="Multi-channeled user-facing open system"/>
    <x v="1"/>
    <s v="Conversion"/>
    <s v="UK"/>
    <d v="2024-07-04T00:00:00"/>
    <d v="2024-07-25T00:00:00"/>
    <n v="152248"/>
    <n v="3379"/>
    <n v="238"/>
    <n v="7904.46"/>
    <n v="24455.06"/>
    <n v="2.2200000000000002"/>
    <n v="7.05"/>
    <n v="2.34"/>
    <n v="33.21"/>
    <n v="3.09"/>
    <n v="209.38"/>
  </r>
  <r>
    <s v="CMP1169"/>
    <s v="Polarized foreground extranet"/>
    <x v="1"/>
    <s v="Conversion"/>
    <s v="India"/>
    <d v="2024-06-29T00:00:00"/>
    <d v="2024-08-10T00:00:00"/>
    <n v="413369"/>
    <n v="5001"/>
    <n v="506"/>
    <n v="18083.63"/>
    <n v="65615.820000000007"/>
    <n v="1.21"/>
    <n v="10.130000000000001"/>
    <n v="3.62"/>
    <n v="35.74"/>
    <n v="3.63"/>
    <n v="262.85000000000002"/>
  </r>
  <r>
    <s v="CMP1170"/>
    <s v="Exclusive clear-thinking project"/>
    <x v="3"/>
    <s v="Awareness"/>
    <s v="UK"/>
    <d v="2024-03-05T00:00:00"/>
    <d v="2024-04-15T00:00:00"/>
    <n v="392533"/>
    <n v="27084"/>
    <n v="2789"/>
    <n v="4038.37"/>
    <n v="12252.15"/>
    <n v="6.9"/>
    <n v="10.3"/>
    <n v="0.15"/>
    <n v="1.45"/>
    <n v="3.03"/>
    <n v="203.39"/>
  </r>
  <r>
    <s v="CMP1171"/>
    <s v="Networked holistic matrices"/>
    <x v="2"/>
    <s v="Retention"/>
    <s v="Australia"/>
    <d v="2024-02-11T00:00:00"/>
    <d v="2024-03-15T00:00:00"/>
    <n v="399124"/>
    <n v="7623"/>
    <n v="251"/>
    <n v="7303.28"/>
    <n v="24920.98"/>
    <n v="1.91"/>
    <n v="3.3"/>
    <n v="0.96"/>
    <n v="29.1"/>
    <n v="3.41"/>
    <n v="241.23"/>
  </r>
  <r>
    <s v="CMP1172"/>
    <s v="Organized heuristic paradigm"/>
    <x v="1"/>
    <s v="Lead Generation"/>
    <s v="Australia"/>
    <d v="2024-01-08T00:00:00"/>
    <d v="2024-01-25T00:00:00"/>
    <n v="309103"/>
    <n v="5811"/>
    <n v="604"/>
    <n v="18397.96"/>
    <n v="109354.27"/>
    <n v="1.88"/>
    <n v="10.41"/>
    <n v="3.17"/>
    <n v="30.46"/>
    <n v="5.94"/>
    <n v="494.38"/>
  </r>
  <r>
    <s v="CMP1173"/>
    <s v="Streamlined neutral process improvement"/>
    <x v="0"/>
    <s v="Retention"/>
    <s v="UK"/>
    <d v="2024-01-18T00:00:00"/>
    <d v="2024-02-21T00:00:00"/>
    <n v="451347"/>
    <n v="21303"/>
    <n v="2040"/>
    <n v="19857.080000000002"/>
    <n v="51008.68"/>
    <n v="4.72"/>
    <n v="9.58"/>
    <n v="0.93"/>
    <n v="9.73"/>
    <n v="2.57"/>
    <n v="156.88"/>
  </r>
  <r>
    <s v="CMP1174"/>
    <s v="Enterprise-wide 5thgeneration secured line"/>
    <x v="0"/>
    <s v="Lead Generation"/>
    <s v="India"/>
    <d v="2024-03-06T00:00:00"/>
    <d v="2024-04-07T00:00:00"/>
    <n v="119404"/>
    <n v="5444"/>
    <n v="390"/>
    <n v="12762.28"/>
    <n v="49780.73"/>
    <n v="4.5599999999999996"/>
    <n v="7.18"/>
    <n v="2.34"/>
    <n v="32.72"/>
    <n v="3.9"/>
    <n v="290.06"/>
  </r>
  <r>
    <s v="CMP1175"/>
    <s v="Diverse tertiary challenge"/>
    <x v="3"/>
    <s v="Lead Generation"/>
    <s v="UK"/>
    <d v="2024-02-25T00:00:00"/>
    <d v="2024-03-05T00:00:00"/>
    <n v="112405"/>
    <n v="6766"/>
    <n v="1099"/>
    <n v="2014.88"/>
    <n v="9549.34"/>
    <n v="6.02"/>
    <n v="16.25"/>
    <n v="0.3"/>
    <n v="1.83"/>
    <n v="4.74"/>
    <n v="373.94"/>
  </r>
  <r>
    <s v="CMP1176"/>
    <s v="Business-focused well-modulated strategy"/>
    <x v="0"/>
    <s v="Conversion"/>
    <s v="Canada"/>
    <d v="2024-03-09T00:00:00"/>
    <d v="2024-03-27T00:00:00"/>
    <n v="264368"/>
    <n v="13271"/>
    <n v="1120"/>
    <n v="13713.8"/>
    <n v="74184.39"/>
    <n v="5.0199999999999996"/>
    <n v="8.44"/>
    <n v="1.03"/>
    <n v="12.24"/>
    <n v="5.41"/>
    <n v="440.95"/>
  </r>
  <r>
    <s v="CMP1177"/>
    <s v="Inverse attitude-oriented Local Area Network"/>
    <x v="3"/>
    <s v="Awareness"/>
    <s v="USA"/>
    <d v="2024-08-12T00:00:00"/>
    <d v="2024-08-30T00:00:00"/>
    <n v="54080"/>
    <n v="4088"/>
    <n v="478"/>
    <n v="3422.32"/>
    <n v="12687.18"/>
    <n v="7.56"/>
    <n v="11.7"/>
    <n v="0.84"/>
    <n v="7.16"/>
    <n v="3.71"/>
    <n v="270.72000000000003"/>
  </r>
  <r>
    <s v="CMP1178"/>
    <s v="Open-architected empowering software"/>
    <x v="3"/>
    <s v="Conversion"/>
    <s v="India"/>
    <d v="2024-10-23T00:00:00"/>
    <d v="2024-12-01T00:00:00"/>
    <n v="171772"/>
    <n v="9928"/>
    <n v="1132"/>
    <n v="3038.59"/>
    <n v="18346.57"/>
    <n v="5.78"/>
    <n v="11.41"/>
    <n v="0.31"/>
    <n v="2.68"/>
    <n v="6.04"/>
    <n v="503.79"/>
  </r>
  <r>
    <s v="CMP1179"/>
    <s v="Reduced even-keeled workforce"/>
    <x v="1"/>
    <s v="Conversion"/>
    <s v="UK"/>
    <d v="2024-04-17T00:00:00"/>
    <d v="2024-05-21T00:00:00"/>
    <n v="251362"/>
    <n v="3368"/>
    <n v="210"/>
    <n v="6291.14"/>
    <n v="35626.36"/>
    <n v="1.34"/>
    <n v="6.25"/>
    <n v="1.87"/>
    <n v="29.96"/>
    <n v="5.66"/>
    <n v="466.29"/>
  </r>
  <r>
    <s v="CMP1180"/>
    <s v="Organic dedicated standardization"/>
    <x v="3"/>
    <s v="Conversion"/>
    <s v="Australia"/>
    <d v="2024-09-06T00:00:00"/>
    <d v="2024-10-11T00:00:00"/>
    <n v="372687"/>
    <n v="21951"/>
    <n v="2517"/>
    <n v="1245.17"/>
    <n v="4103.2"/>
    <n v="5.89"/>
    <n v="11.47"/>
    <n v="0.06"/>
    <n v="0.49"/>
    <n v="3.3"/>
    <n v="229.53"/>
  </r>
  <r>
    <s v="CMP1181"/>
    <s v="Business-focused high-level secured line"/>
    <x v="2"/>
    <s v="Lead Generation"/>
    <s v="UK"/>
    <d v="2024-03-13T00:00:00"/>
    <d v="2024-03-26T00:00:00"/>
    <n v="186015"/>
    <n v="8314"/>
    <n v="479"/>
    <n v="16867.740000000002"/>
    <n v="84321.01"/>
    <n v="4.47"/>
    <n v="5.77"/>
    <n v="2.0299999999999998"/>
    <n v="35.21"/>
    <n v="5"/>
    <n v="399.9"/>
  </r>
  <r>
    <s v="CMP1182"/>
    <s v="Ergonomic holistic adapter"/>
    <x v="2"/>
    <s v="Lead Generation"/>
    <s v="India"/>
    <d v="2024-01-04T00:00:00"/>
    <d v="2024-02-11T00:00:00"/>
    <n v="363729"/>
    <n v="15312"/>
    <n v="1041"/>
    <n v="11097.45"/>
    <n v="62095.38"/>
    <n v="4.21"/>
    <n v="6.8"/>
    <n v="0.72"/>
    <n v="10.66"/>
    <n v="5.6"/>
    <n v="459.55"/>
  </r>
  <r>
    <s v="CMP1183"/>
    <s v="Compatible actuating system engine"/>
    <x v="0"/>
    <s v="Conversion"/>
    <s v="USA"/>
    <d v="2024-08-20T00:00:00"/>
    <d v="2024-09-14T00:00:00"/>
    <n v="197764"/>
    <n v="12399"/>
    <n v="921"/>
    <n v="19641.79"/>
    <n v="85324.38"/>
    <n v="6.27"/>
    <n v="7.43"/>
    <n v="1.58"/>
    <n v="21.33"/>
    <n v="4.34"/>
    <n v="334.4"/>
  </r>
  <r>
    <s v="CMP1184"/>
    <s v="Robust static moratorium"/>
    <x v="0"/>
    <s v="Awareness"/>
    <s v="Canada"/>
    <d v="2024-02-29T00:00:00"/>
    <d v="2024-03-29T00:00:00"/>
    <n v="276631"/>
    <n v="12365"/>
    <n v="558"/>
    <n v="7736.36"/>
    <n v="25166.68"/>
    <n v="4.47"/>
    <n v="4.5199999999999996"/>
    <n v="0.63"/>
    <n v="13.86"/>
    <n v="3.25"/>
    <n v="225.3"/>
  </r>
  <r>
    <s v="CMP1185"/>
    <s v="Open-source asymmetric toolset"/>
    <x v="0"/>
    <s v="Lead Generation"/>
    <s v="India"/>
    <d v="2024-02-07T00:00:00"/>
    <d v="2024-03-05T00:00:00"/>
    <n v="221502"/>
    <n v="6933"/>
    <n v="416"/>
    <n v="14069.28"/>
    <n v="74705.740000000005"/>
    <n v="3.13"/>
    <n v="6.01"/>
    <n v="2.0299999999999998"/>
    <n v="33.82"/>
    <n v="5.31"/>
    <n v="430.98"/>
  </r>
  <r>
    <s v="CMP1186"/>
    <s v="Expanded bi-directional synergy"/>
    <x v="0"/>
    <s v="Retention"/>
    <s v="India"/>
    <d v="2024-11-16T00:00:00"/>
    <d v="2024-11-25T00:00:00"/>
    <n v="419677"/>
    <n v="23837"/>
    <n v="1408"/>
    <n v="21828.62"/>
    <n v="108599.28"/>
    <n v="5.68"/>
    <n v="5.91"/>
    <n v="0.92"/>
    <n v="15.5"/>
    <n v="4.9800000000000004"/>
    <n v="397.51"/>
  </r>
  <r>
    <s v="CMP1187"/>
    <s v="Reverse-engineered intermediate interface"/>
    <x v="0"/>
    <s v="Lead Generation"/>
    <s v="USA"/>
    <d v="2024-03-18T00:00:00"/>
    <d v="2024-04-25T00:00:00"/>
    <n v="357412"/>
    <n v="14296"/>
    <n v="1380"/>
    <n v="18466.95"/>
    <n v="58979.51"/>
    <n v="4"/>
    <n v="9.66"/>
    <n v="1.29"/>
    <n v="13.38"/>
    <n v="3.19"/>
    <n v="219.38"/>
  </r>
  <r>
    <s v="CMP1188"/>
    <s v="Profound non-volatile knowledgebase"/>
    <x v="2"/>
    <s v="Retention"/>
    <s v="UK"/>
    <d v="2024-04-19T00:00:00"/>
    <d v="2024-04-26T00:00:00"/>
    <n v="119096"/>
    <n v="2501"/>
    <n v="159"/>
    <n v="17262.490000000002"/>
    <n v="101109.95"/>
    <n v="2.1"/>
    <n v="6.38"/>
    <n v="6.9"/>
    <n v="108.57"/>
    <n v="5.86"/>
    <n v="485.72"/>
  </r>
  <r>
    <s v="CMP1189"/>
    <s v="Ameliorated zero administration capacity"/>
    <x v="1"/>
    <s v="Awareness"/>
    <s v="Canada"/>
    <d v="2024-11-10T00:00:00"/>
    <d v="2024-12-11T00:00:00"/>
    <n v="342414"/>
    <n v="6300"/>
    <n v="628"/>
    <n v="4621"/>
    <n v="23548.23"/>
    <n v="1.84"/>
    <n v="9.9700000000000006"/>
    <n v="0.73"/>
    <n v="7.36"/>
    <n v="5.0999999999999996"/>
    <n v="409.59"/>
  </r>
  <r>
    <s v="CMP1190"/>
    <s v="Expanded even-keeled migration"/>
    <x v="3"/>
    <s v="Lead Generation"/>
    <s v="UK"/>
    <d v="2024-05-29T00:00:00"/>
    <d v="2024-07-06T00:00:00"/>
    <n v="303877"/>
    <n v="21818"/>
    <n v="3826"/>
    <n v="4450.5"/>
    <n v="25737.75"/>
    <n v="7.18"/>
    <n v="17.54"/>
    <n v="0.2"/>
    <n v="1.1599999999999999"/>
    <n v="5.78"/>
    <n v="478.31"/>
  </r>
  <r>
    <s v="CMP1191"/>
    <s v="Polarized interactive pricing structure"/>
    <x v="1"/>
    <s v="Retention"/>
    <s v="Australia"/>
    <d v="2024-05-27T00:00:00"/>
    <d v="2024-06-29T00:00:00"/>
    <n v="237237"/>
    <n v="4080"/>
    <n v="288"/>
    <n v="7502.89"/>
    <n v="47516.82"/>
    <n v="1.72"/>
    <n v="7.07"/>
    <n v="1.84"/>
    <n v="26.05"/>
    <n v="6.33"/>
    <n v="533.30999999999995"/>
  </r>
  <r>
    <s v="CMP1192"/>
    <s v="Future-proofed reciprocal intranet"/>
    <x v="1"/>
    <s v="Conversion"/>
    <s v="USA"/>
    <d v="2024-06-26T00:00:00"/>
    <d v="2024-07-28T00:00:00"/>
    <n v="397297"/>
    <n v="6038"/>
    <n v="376"/>
    <n v="19301.05"/>
    <n v="95979.45"/>
    <n v="1.52"/>
    <n v="6.23"/>
    <n v="3.2"/>
    <n v="51.33"/>
    <n v="4.97"/>
    <n v="397.28"/>
  </r>
  <r>
    <s v="CMP1193"/>
    <s v="Expanded foreground initiative"/>
    <x v="2"/>
    <s v="Retention"/>
    <s v="Canada"/>
    <d v="2024-07-28T00:00:00"/>
    <d v="2024-08-07T00:00:00"/>
    <n v="365127"/>
    <n v="10004"/>
    <n v="317"/>
    <n v="7363.95"/>
    <n v="31544.9"/>
    <n v="2.74"/>
    <n v="3.17"/>
    <n v="0.74"/>
    <n v="23.23"/>
    <n v="4.28"/>
    <n v="328.37"/>
  </r>
  <r>
    <s v="CMP1194"/>
    <s v="Triple-buffered systematic moderator"/>
    <x v="3"/>
    <s v="Conversion"/>
    <s v="UK"/>
    <d v="2024-01-28T00:00:00"/>
    <d v="2024-02-21T00:00:00"/>
    <n v="403888"/>
    <n v="23869"/>
    <n v="2842"/>
    <n v="2488.7800000000002"/>
    <n v="9442.58"/>
    <n v="5.91"/>
    <n v="11.91"/>
    <n v="0.1"/>
    <n v="0.88"/>
    <n v="3.79"/>
    <n v="279.41000000000003"/>
  </r>
  <r>
    <s v="CMP1195"/>
    <s v="User-centric zero-defect moratorium"/>
    <x v="1"/>
    <s v="Lead Generation"/>
    <s v="UK"/>
    <d v="2024-03-26T00:00:00"/>
    <d v="2024-05-06T00:00:00"/>
    <n v="383586"/>
    <n v="8400"/>
    <n v="601"/>
    <n v="10556.98"/>
    <n v="48311.65"/>
    <n v="2.19"/>
    <n v="7.16"/>
    <n v="1.26"/>
    <n v="17.57"/>
    <n v="4.58"/>
    <n v="357.63"/>
  </r>
  <r>
    <s v="CMP1196"/>
    <s v="Advanced directional customer loyalty"/>
    <x v="2"/>
    <s v="Awareness"/>
    <s v="Australia"/>
    <d v="2024-07-13T00:00:00"/>
    <d v="2024-07-25T00:00:00"/>
    <n v="370209"/>
    <n v="9218"/>
    <n v="462"/>
    <n v="3298.8"/>
    <n v="17318.8"/>
    <n v="2.4900000000000002"/>
    <n v="5.0199999999999996"/>
    <n v="0.36"/>
    <n v="7.14"/>
    <n v="5.25"/>
    <n v="425"/>
  </r>
  <r>
    <s v="CMP1197"/>
    <s v="Multi-lateral optimal contingency"/>
    <x v="4"/>
    <s v="Conversion"/>
    <s v="Australia"/>
    <d v="2024-03-21T00:00:00"/>
    <d v="2024-05-01T00:00:00"/>
    <n v="83273"/>
    <n v="2414"/>
    <n v="80"/>
    <n v="7026.22"/>
    <n v="20326.71"/>
    <n v="2.9"/>
    <n v="3.32"/>
    <n v="2.91"/>
    <n v="87.83"/>
    <n v="2.89"/>
    <n v="189.3"/>
  </r>
  <r>
    <s v="CMP1198"/>
    <s v="Customer-focused upward-trending contingency"/>
    <x v="1"/>
    <s v="Lead Generation"/>
    <s v="UK"/>
    <d v="2024-05-07T00:00:00"/>
    <d v="2024-05-14T00:00:00"/>
    <n v="470104"/>
    <n v="5030"/>
    <n v="383"/>
    <n v="10614.32"/>
    <n v="47640.04"/>
    <n v="1.07"/>
    <n v="7.62"/>
    <n v="2.11"/>
    <n v="27.71"/>
    <n v="4.49"/>
    <n v="348.83"/>
  </r>
  <r>
    <s v="CMP1199"/>
    <s v="Switchable systemic paradigm"/>
    <x v="0"/>
    <s v="Awareness"/>
    <s v="Australia"/>
    <d v="2024-01-13T00:00:00"/>
    <d v="2024-02-03T00:00:00"/>
    <n v="103750"/>
    <n v="4679"/>
    <n v="409"/>
    <n v="5845.7"/>
    <n v="19138.259999999998"/>
    <n v="4.51"/>
    <n v="8.75"/>
    <n v="1.25"/>
    <n v="14.29"/>
    <n v="3.27"/>
    <n v="227.39"/>
  </r>
  <r>
    <s v="CMP1200"/>
    <s v="Distributed reciprocal Internet solution"/>
    <x v="2"/>
    <s v="Awareness"/>
    <s v="UK"/>
    <d v="2024-05-18T00:00:00"/>
    <d v="2024-05-30T00:00:00"/>
    <n v="443171"/>
    <n v="8287"/>
    <n v="490"/>
    <n v="12829.14"/>
    <n v="33232.21"/>
    <n v="1.87"/>
    <n v="5.92"/>
    <n v="1.55"/>
    <n v="26.18"/>
    <n v="2.59"/>
    <n v="159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43F7B-7666-40F5-9CCD-9EF405C8C39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showAll="0"/>
    <pivotField axis="axisRow" showAll="0" sortType="descending">
      <items count="6">
        <item x="3"/>
        <item x="2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C7AB7-CBE7-4DEC-ABA3-7320384CFF9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showAll="0"/>
    <pivotField axis="axisRow" showAll="0" sortType="descending">
      <items count="6">
        <item x="3"/>
        <item x="2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ad_spen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E7726-0A9F-4980-AD45-A36FD26D07A5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8"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oi_percent" fld="17" subtotal="average" baseField="2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41A83-6A9F-4EB6-B895-BEB175F06E82}" name="MKT" displayName="MKT" ref="A1:R1201" totalsRowShown="0" headerRowDxfId="2" headerRowBorderDxfId="5" tableBorderDxfId="6">
  <autoFilter ref="A1:R1201" xr:uid="{00000000-0001-0000-0000-000000000000}"/>
  <tableColumns count="18">
    <tableColumn id="1" xr3:uid="{554A52B8-B243-4452-88FF-73097BD90C9F}" name="campaign_id"/>
    <tableColumn id="2" xr3:uid="{3285AE31-1A38-4137-88AE-7BEC22FB91C4}" name="campaign_name"/>
    <tableColumn id="3" xr3:uid="{1727CB3B-4880-4D10-A82C-C06A68533DFD}" name="marketing_channel"/>
    <tableColumn id="4" xr3:uid="{BA4B86B3-A93D-46A2-B222-1872900B212A}" name="campaign_type"/>
    <tableColumn id="5" xr3:uid="{E44E9C20-AFE6-4867-B9AB-F3D41F1C188D}" name="region"/>
    <tableColumn id="6" xr3:uid="{157D4CE5-2632-4B41-9A34-3452E903B295}" name="start_date" dataDxfId="4"/>
    <tableColumn id="7" xr3:uid="{EF002DD2-749E-4AEC-AE40-C30F57000EB0}" name="end_date" dataDxfId="3"/>
    <tableColumn id="8" xr3:uid="{B20B6B09-BC45-4C0D-8AB4-D270CD98C8B9}" name="impressions"/>
    <tableColumn id="9" xr3:uid="{4B9C5A6E-89E8-465C-B09B-67EAEE2B66C9}" name="clicks"/>
    <tableColumn id="10" xr3:uid="{2E2369C9-E27C-4964-A1C9-67C325423DA4}" name="conversions"/>
    <tableColumn id="11" xr3:uid="{E4242250-C234-4A40-BA6C-9BE2EED19CF9}" name="ad_spend"/>
    <tableColumn id="12" xr3:uid="{D14540F8-6183-42AB-B7D2-FC750C8CEB2D}" name="revenue"/>
    <tableColumn id="13" xr3:uid="{84F7DA24-C88C-495E-B7DA-98128A300325}" name="ctr_percent"/>
    <tableColumn id="14" xr3:uid="{CADFB87E-6161-48CE-AABB-94203E296A37}" name="conversion_rate_percent"/>
    <tableColumn id="15" xr3:uid="{4780546B-9D67-4FA9-AA29-D0B1675AED9A}" name="cpc"/>
    <tableColumn id="16" xr3:uid="{F4F80246-E46E-44D9-A471-E1B9E06EB9EE}" name="cpl"/>
    <tableColumn id="17" xr3:uid="{001975B6-A1B8-43E9-885D-4854BFBA852C}" name="roas"/>
    <tableColumn id="18" xr3:uid="{4EC73A9F-A0CE-4553-8AED-F3AEFE058AE4}" name="roi_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1"/>
  <sheetViews>
    <sheetView tabSelected="1" zoomScale="80" workbookViewId="0">
      <selection activeCell="V9" sqref="V9"/>
    </sheetView>
  </sheetViews>
  <sheetFormatPr defaultRowHeight="14.4" x14ac:dyDescent="0.3"/>
  <cols>
    <col min="1" max="1" width="16.21875" bestFit="1" customWidth="1"/>
    <col min="2" max="2" width="48.5546875" bestFit="1" customWidth="1"/>
    <col min="3" max="3" width="21.88671875" bestFit="1" customWidth="1"/>
    <col min="4" max="4" width="18.5546875" bestFit="1" customWidth="1"/>
    <col min="5" max="5" width="10.77734375" bestFit="1" customWidth="1"/>
    <col min="6" max="6" width="14" bestFit="1" customWidth="1"/>
    <col min="7" max="7" width="13.44140625" bestFit="1" customWidth="1"/>
    <col min="8" max="8" width="15.33203125" bestFit="1" customWidth="1"/>
    <col min="9" max="9" width="9.88671875" bestFit="1" customWidth="1"/>
    <col min="10" max="10" width="15.44140625" bestFit="1" customWidth="1"/>
    <col min="11" max="11" width="13.6640625" bestFit="1" customWidth="1"/>
    <col min="12" max="12" width="14.44140625" customWidth="1"/>
    <col min="13" max="13" width="15.109375" bestFit="1" customWidth="1"/>
    <col min="14" max="14" width="26.77734375" bestFit="1" customWidth="1"/>
    <col min="15" max="15" width="8.33203125" bestFit="1" customWidth="1"/>
    <col min="16" max="16" width="7.88671875" bestFit="1" customWidth="1"/>
    <col min="17" max="17" width="9" bestFit="1" customWidth="1"/>
    <col min="18" max="18" width="15.109375" bestFit="1" customWidth="1"/>
    <col min="20" max="21" width="9.554687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T1" s="7" t="s">
        <v>2437</v>
      </c>
      <c r="U1" s="8"/>
      <c r="V1" s="8"/>
      <c r="W1" s="8"/>
    </row>
    <row r="2" spans="1:23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>
        <v>45336</v>
      </c>
      <c r="G2" s="1">
        <v>45380</v>
      </c>
      <c r="H2">
        <v>178393</v>
      </c>
      <c r="I2">
        <v>6047</v>
      </c>
      <c r="J2">
        <v>509</v>
      </c>
      <c r="K2">
        <v>18533.990000000002</v>
      </c>
      <c r="L2">
        <v>111478.39</v>
      </c>
      <c r="M2">
        <v>3.39</v>
      </c>
      <c r="N2">
        <v>8.42</v>
      </c>
      <c r="O2">
        <v>3.06</v>
      </c>
      <c r="P2">
        <v>36.409999999999997</v>
      </c>
      <c r="Q2">
        <v>6.01</v>
      </c>
      <c r="R2">
        <v>501.48</v>
      </c>
      <c r="T2" s="9">
        <f>MKT[[#This Row],[clicks]]/MKT[[#This Row],[impressions]]*100</f>
        <v>3.3897069952296333</v>
      </c>
      <c r="U2" s="9">
        <f>MKT[[#This Row],[conversions]]/MKT[[#This Row],[clicks]]*100</f>
        <v>8.4173970563916001</v>
      </c>
      <c r="V2" s="10">
        <f>MKT[[#This Row],[revenue]]/MKT[[#This Row],[ad_spend]]</f>
        <v>6.0148079285679978</v>
      </c>
      <c r="W2" s="10">
        <f>(MKT[[#This Row],[revenue]]-MKT[[#This Row],[ad_spend]])/MKT[[#This Row],[ad_spend]]*100</f>
        <v>501.48079285679978</v>
      </c>
    </row>
    <row r="3" spans="1:23" x14ac:dyDescent="0.3">
      <c r="A3" t="s">
        <v>23</v>
      </c>
      <c r="B3" t="s">
        <v>24</v>
      </c>
      <c r="C3" t="s">
        <v>25</v>
      </c>
      <c r="D3" t="s">
        <v>21</v>
      </c>
      <c r="E3" t="s">
        <v>26</v>
      </c>
      <c r="F3" s="1">
        <v>45571</v>
      </c>
      <c r="G3" s="1">
        <v>45604</v>
      </c>
      <c r="H3">
        <v>99123</v>
      </c>
      <c r="I3">
        <v>1159</v>
      </c>
      <c r="J3">
        <v>98</v>
      </c>
      <c r="K3">
        <v>4424.58</v>
      </c>
      <c r="L3">
        <v>12808.14</v>
      </c>
      <c r="M3">
        <v>1.17</v>
      </c>
      <c r="N3">
        <v>8.5399999999999991</v>
      </c>
      <c r="O3">
        <v>3.82</v>
      </c>
      <c r="P3">
        <v>45.15</v>
      </c>
      <c r="Q3">
        <v>2.89</v>
      </c>
      <c r="R3">
        <v>189.48</v>
      </c>
      <c r="T3" s="9">
        <f>MKT[[#This Row],[clicks]]/MKT[[#This Row],[impressions]]*100</f>
        <v>1.1692543607437225</v>
      </c>
      <c r="U3" s="9">
        <f>MKT[[#This Row],[conversions]]/MKT[[#This Row],[clicks]]*100</f>
        <v>8.4555651423641081</v>
      </c>
      <c r="V3" s="10">
        <f>MKT[[#This Row],[revenue]]/MKT[[#This Row],[ad_spend]]</f>
        <v>2.8947696730537134</v>
      </c>
      <c r="W3" s="10">
        <f>(MKT[[#This Row],[revenue]]-MKT[[#This Row],[ad_spend]])/MKT[[#This Row],[ad_spend]]*100</f>
        <v>189.47696730537135</v>
      </c>
    </row>
    <row r="4" spans="1:23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s="1">
        <v>45466</v>
      </c>
      <c r="G4" s="1">
        <v>45490</v>
      </c>
      <c r="H4">
        <v>195852</v>
      </c>
      <c r="I4">
        <v>7696</v>
      </c>
      <c r="J4">
        <v>156</v>
      </c>
      <c r="K4">
        <v>15087.29</v>
      </c>
      <c r="L4">
        <v>77573.22</v>
      </c>
      <c r="M4">
        <v>3.93</v>
      </c>
      <c r="N4">
        <v>2.0299999999999998</v>
      </c>
      <c r="O4">
        <v>1.96</v>
      </c>
      <c r="P4">
        <v>96.71</v>
      </c>
      <c r="Q4">
        <v>5.14</v>
      </c>
      <c r="R4">
        <v>414.16</v>
      </c>
      <c r="T4" s="9">
        <f>MKT[[#This Row],[clicks]]/MKT[[#This Row],[impressions]]*100</f>
        <v>3.9294977840410104</v>
      </c>
      <c r="U4" s="9">
        <f>MKT[[#This Row],[conversions]]/MKT[[#This Row],[clicks]]*100</f>
        <v>2.0270270270270272</v>
      </c>
      <c r="V4" s="10">
        <f>MKT[[#This Row],[revenue]]/MKT[[#This Row],[ad_spend]]</f>
        <v>5.1416271576936614</v>
      </c>
      <c r="W4" s="10">
        <f>(MKT[[#This Row],[revenue]]-MKT[[#This Row],[ad_spend]])/MKT[[#This Row],[ad_spend]]*100</f>
        <v>414.16271576936612</v>
      </c>
    </row>
    <row r="5" spans="1:23" x14ac:dyDescent="0.3">
      <c r="A5" t="s">
        <v>32</v>
      </c>
      <c r="B5" t="s">
        <v>33</v>
      </c>
      <c r="C5" t="s">
        <v>29</v>
      </c>
      <c r="D5" t="s">
        <v>34</v>
      </c>
      <c r="E5" t="s">
        <v>22</v>
      </c>
      <c r="F5" s="1">
        <v>45314</v>
      </c>
      <c r="G5" s="1">
        <v>45350</v>
      </c>
      <c r="H5">
        <v>103587</v>
      </c>
      <c r="I5">
        <v>1843</v>
      </c>
      <c r="J5">
        <v>45</v>
      </c>
      <c r="K5">
        <v>15712.42</v>
      </c>
      <c r="L5">
        <v>74111.83</v>
      </c>
      <c r="M5">
        <v>1.78</v>
      </c>
      <c r="N5">
        <v>2.48</v>
      </c>
      <c r="O5">
        <v>8.5299999999999994</v>
      </c>
      <c r="P5">
        <v>349.16</v>
      </c>
      <c r="Q5">
        <v>4.72</v>
      </c>
      <c r="R5">
        <v>371.68</v>
      </c>
    </row>
    <row r="6" spans="1:23" x14ac:dyDescent="0.3">
      <c r="A6" t="s">
        <v>35</v>
      </c>
      <c r="B6" t="s">
        <v>36</v>
      </c>
      <c r="C6" t="s">
        <v>37</v>
      </c>
      <c r="D6" t="s">
        <v>21</v>
      </c>
      <c r="E6" t="s">
        <v>38</v>
      </c>
      <c r="F6" s="1">
        <v>45587</v>
      </c>
      <c r="G6" s="1">
        <v>45606</v>
      </c>
      <c r="H6">
        <v>91313</v>
      </c>
      <c r="I6">
        <v>6674</v>
      </c>
      <c r="J6">
        <v>1087</v>
      </c>
      <c r="K6">
        <v>3283.34</v>
      </c>
      <c r="L6">
        <v>19298.43</v>
      </c>
      <c r="M6">
        <v>7.31</v>
      </c>
      <c r="N6">
        <v>16.29</v>
      </c>
      <c r="O6">
        <v>0.49</v>
      </c>
      <c r="P6">
        <v>3.02</v>
      </c>
      <c r="Q6">
        <v>5.88</v>
      </c>
      <c r="R6">
        <v>487.77</v>
      </c>
    </row>
    <row r="7" spans="1:23" x14ac:dyDescent="0.3">
      <c r="A7" t="s">
        <v>39</v>
      </c>
      <c r="B7" t="s">
        <v>40</v>
      </c>
      <c r="C7" t="s">
        <v>20</v>
      </c>
      <c r="D7" t="s">
        <v>21</v>
      </c>
      <c r="E7" t="s">
        <v>41</v>
      </c>
      <c r="F7" s="1">
        <v>45434</v>
      </c>
      <c r="G7" s="1">
        <v>45470</v>
      </c>
      <c r="H7">
        <v>455310</v>
      </c>
      <c r="I7">
        <v>16664</v>
      </c>
      <c r="J7">
        <v>746</v>
      </c>
      <c r="K7">
        <v>9655.82</v>
      </c>
      <c r="L7">
        <v>23700.27</v>
      </c>
      <c r="M7">
        <v>3.66</v>
      </c>
      <c r="N7">
        <v>4.4800000000000004</v>
      </c>
      <c r="O7">
        <v>0.57999999999999996</v>
      </c>
      <c r="P7">
        <v>12.94</v>
      </c>
      <c r="Q7">
        <v>2.4500000000000002</v>
      </c>
      <c r="R7">
        <v>145.44999999999999</v>
      </c>
    </row>
    <row r="8" spans="1:23" x14ac:dyDescent="0.3">
      <c r="A8" t="s">
        <v>42</v>
      </c>
      <c r="B8" t="s">
        <v>43</v>
      </c>
      <c r="C8" t="s">
        <v>44</v>
      </c>
      <c r="D8" t="s">
        <v>34</v>
      </c>
      <c r="E8" t="s">
        <v>22</v>
      </c>
      <c r="F8" s="1">
        <v>45603</v>
      </c>
      <c r="G8" s="1">
        <v>45620</v>
      </c>
      <c r="H8">
        <v>236264</v>
      </c>
      <c r="I8">
        <v>4110</v>
      </c>
      <c r="J8">
        <v>99</v>
      </c>
      <c r="K8">
        <v>14208.18</v>
      </c>
      <c r="L8">
        <v>69849.679999999993</v>
      </c>
      <c r="M8">
        <v>1.74</v>
      </c>
      <c r="N8">
        <v>2.4300000000000002</v>
      </c>
      <c r="O8">
        <v>3.46</v>
      </c>
      <c r="P8">
        <v>143.52000000000001</v>
      </c>
      <c r="Q8">
        <v>4.92</v>
      </c>
      <c r="R8">
        <v>391.62</v>
      </c>
    </row>
    <row r="9" spans="1:23" x14ac:dyDescent="0.3">
      <c r="A9" t="s">
        <v>45</v>
      </c>
      <c r="B9" t="s">
        <v>46</v>
      </c>
      <c r="C9" t="s">
        <v>37</v>
      </c>
      <c r="D9" t="s">
        <v>34</v>
      </c>
      <c r="E9" t="s">
        <v>41</v>
      </c>
      <c r="F9" s="1">
        <v>45458</v>
      </c>
      <c r="G9" s="1">
        <v>45468</v>
      </c>
      <c r="H9">
        <v>292357</v>
      </c>
      <c r="I9">
        <v>18360</v>
      </c>
      <c r="J9">
        <v>3286</v>
      </c>
      <c r="K9">
        <v>3380</v>
      </c>
      <c r="L9">
        <v>15231.21</v>
      </c>
      <c r="M9">
        <v>6.28</v>
      </c>
      <c r="N9">
        <v>17.899999999999999</v>
      </c>
      <c r="O9">
        <v>0.18</v>
      </c>
      <c r="P9">
        <v>1.03</v>
      </c>
      <c r="Q9">
        <v>4.51</v>
      </c>
      <c r="R9">
        <v>350.63</v>
      </c>
    </row>
    <row r="10" spans="1:23" x14ac:dyDescent="0.3">
      <c r="A10" t="s">
        <v>47</v>
      </c>
      <c r="B10" t="s">
        <v>48</v>
      </c>
      <c r="C10" t="s">
        <v>29</v>
      </c>
      <c r="D10" t="s">
        <v>21</v>
      </c>
      <c r="E10" t="s">
        <v>22</v>
      </c>
      <c r="F10" s="1">
        <v>45453</v>
      </c>
      <c r="G10" s="1">
        <v>45473</v>
      </c>
      <c r="H10">
        <v>260325</v>
      </c>
      <c r="I10">
        <v>5987</v>
      </c>
      <c r="J10">
        <v>182</v>
      </c>
      <c r="K10">
        <v>17143.650000000001</v>
      </c>
      <c r="L10">
        <v>101895.93</v>
      </c>
      <c r="M10">
        <v>2.2999999999999998</v>
      </c>
      <c r="N10">
        <v>3.05</v>
      </c>
      <c r="O10">
        <v>2.86</v>
      </c>
      <c r="P10">
        <v>94.2</v>
      </c>
      <c r="Q10">
        <v>5.94</v>
      </c>
      <c r="R10">
        <v>494.37</v>
      </c>
    </row>
    <row r="11" spans="1:23" x14ac:dyDescent="0.3">
      <c r="A11" t="s">
        <v>49</v>
      </c>
      <c r="B11" t="s">
        <v>50</v>
      </c>
      <c r="C11" t="s">
        <v>25</v>
      </c>
      <c r="D11" t="s">
        <v>30</v>
      </c>
      <c r="E11" t="s">
        <v>38</v>
      </c>
      <c r="F11" s="1">
        <v>45591</v>
      </c>
      <c r="G11" s="1">
        <v>45625</v>
      </c>
      <c r="H11">
        <v>124905</v>
      </c>
      <c r="I11">
        <v>1561</v>
      </c>
      <c r="J11">
        <v>105</v>
      </c>
      <c r="K11">
        <v>12981.89</v>
      </c>
      <c r="L11">
        <v>41312.75</v>
      </c>
      <c r="M11">
        <v>1.25</v>
      </c>
      <c r="N11">
        <v>6.73</v>
      </c>
      <c r="O11">
        <v>8.32</v>
      </c>
      <c r="P11">
        <v>123.64</v>
      </c>
      <c r="Q11">
        <v>3.18</v>
      </c>
      <c r="R11">
        <v>218.23</v>
      </c>
    </row>
    <row r="12" spans="1:23" x14ac:dyDescent="0.3">
      <c r="A12" t="s">
        <v>51</v>
      </c>
      <c r="B12" t="s">
        <v>52</v>
      </c>
      <c r="C12" t="s">
        <v>37</v>
      </c>
      <c r="D12" t="s">
        <v>30</v>
      </c>
      <c r="E12" t="s">
        <v>22</v>
      </c>
      <c r="F12" s="1">
        <v>45348</v>
      </c>
      <c r="G12" s="1">
        <v>45364</v>
      </c>
      <c r="H12">
        <v>164987</v>
      </c>
      <c r="I12">
        <v>16465</v>
      </c>
      <c r="J12">
        <v>1544</v>
      </c>
      <c r="K12">
        <v>2720.82</v>
      </c>
      <c r="L12">
        <v>14695.2</v>
      </c>
      <c r="M12">
        <v>9.98</v>
      </c>
      <c r="N12">
        <v>9.3800000000000008</v>
      </c>
      <c r="O12">
        <v>0.17</v>
      </c>
      <c r="P12">
        <v>1.76</v>
      </c>
      <c r="Q12">
        <v>5.4</v>
      </c>
      <c r="R12">
        <v>440.1</v>
      </c>
    </row>
    <row r="13" spans="1:23" x14ac:dyDescent="0.3">
      <c r="A13" t="s">
        <v>53</v>
      </c>
      <c r="B13" t="s">
        <v>54</v>
      </c>
      <c r="C13" t="s">
        <v>29</v>
      </c>
      <c r="D13" t="s">
        <v>30</v>
      </c>
      <c r="E13" t="s">
        <v>31</v>
      </c>
      <c r="F13" s="1">
        <v>45575</v>
      </c>
      <c r="G13" s="1">
        <v>45582</v>
      </c>
      <c r="H13">
        <v>83306</v>
      </c>
      <c r="I13">
        <v>2207</v>
      </c>
      <c r="J13">
        <v>109</v>
      </c>
      <c r="K13">
        <v>10020.75</v>
      </c>
      <c r="L13">
        <v>31378.61</v>
      </c>
      <c r="M13">
        <v>2.65</v>
      </c>
      <c r="N13">
        <v>4.9800000000000004</v>
      </c>
      <c r="O13">
        <v>4.54</v>
      </c>
      <c r="P13">
        <v>91.93</v>
      </c>
      <c r="Q13">
        <v>3.13</v>
      </c>
      <c r="R13">
        <v>213.14</v>
      </c>
    </row>
    <row r="14" spans="1:23" x14ac:dyDescent="0.3">
      <c r="A14" t="s">
        <v>55</v>
      </c>
      <c r="B14" t="s">
        <v>56</v>
      </c>
      <c r="C14" t="s">
        <v>20</v>
      </c>
      <c r="D14" t="s">
        <v>57</v>
      </c>
      <c r="E14" t="s">
        <v>22</v>
      </c>
      <c r="F14" s="1">
        <v>45426</v>
      </c>
      <c r="G14" s="1">
        <v>45465</v>
      </c>
      <c r="H14">
        <v>108485</v>
      </c>
      <c r="I14">
        <v>3981</v>
      </c>
      <c r="J14">
        <v>197</v>
      </c>
      <c r="K14">
        <v>5064.91</v>
      </c>
      <c r="L14">
        <v>26587.81</v>
      </c>
      <c r="M14">
        <v>3.67</v>
      </c>
      <c r="N14">
        <v>4.95</v>
      </c>
      <c r="O14">
        <v>1.27</v>
      </c>
      <c r="P14">
        <v>25.71</v>
      </c>
      <c r="Q14">
        <v>5.25</v>
      </c>
      <c r="R14">
        <v>424.94</v>
      </c>
    </row>
    <row r="15" spans="1:23" x14ac:dyDescent="0.3">
      <c r="A15" t="s">
        <v>58</v>
      </c>
      <c r="B15" t="s">
        <v>59</v>
      </c>
      <c r="C15" t="s">
        <v>29</v>
      </c>
      <c r="D15" t="s">
        <v>21</v>
      </c>
      <c r="E15" t="s">
        <v>22</v>
      </c>
      <c r="F15" s="1">
        <v>45568</v>
      </c>
      <c r="G15" s="1">
        <v>45608</v>
      </c>
      <c r="H15">
        <v>491277</v>
      </c>
      <c r="I15">
        <v>16801</v>
      </c>
      <c r="J15">
        <v>846</v>
      </c>
      <c r="K15">
        <v>5292.59</v>
      </c>
      <c r="L15">
        <v>28745.64</v>
      </c>
      <c r="M15">
        <v>3.42</v>
      </c>
      <c r="N15">
        <v>5.04</v>
      </c>
      <c r="O15">
        <v>0.32</v>
      </c>
      <c r="P15">
        <v>6.26</v>
      </c>
      <c r="Q15">
        <v>5.43</v>
      </c>
      <c r="R15">
        <v>443.13</v>
      </c>
    </row>
    <row r="16" spans="1:23" x14ac:dyDescent="0.3">
      <c r="A16" t="s">
        <v>60</v>
      </c>
      <c r="B16" t="s">
        <v>61</v>
      </c>
      <c r="C16" t="s">
        <v>20</v>
      </c>
      <c r="D16" t="s">
        <v>57</v>
      </c>
      <c r="E16" t="s">
        <v>38</v>
      </c>
      <c r="F16" s="1">
        <v>45414</v>
      </c>
      <c r="G16" s="1">
        <v>45424</v>
      </c>
      <c r="H16">
        <v>60211</v>
      </c>
      <c r="I16">
        <v>1776</v>
      </c>
      <c r="J16">
        <v>109</v>
      </c>
      <c r="K16">
        <v>24706.43</v>
      </c>
      <c r="L16">
        <v>139109.22</v>
      </c>
      <c r="M16">
        <v>2.95</v>
      </c>
      <c r="N16">
        <v>6.18</v>
      </c>
      <c r="O16">
        <v>13.91</v>
      </c>
      <c r="P16">
        <v>226.66</v>
      </c>
      <c r="Q16">
        <v>5.63</v>
      </c>
      <c r="R16">
        <v>463.05</v>
      </c>
    </row>
    <row r="17" spans="1:18" x14ac:dyDescent="0.3">
      <c r="A17" t="s">
        <v>62</v>
      </c>
      <c r="B17" t="s">
        <v>63</v>
      </c>
      <c r="C17" t="s">
        <v>29</v>
      </c>
      <c r="D17" t="s">
        <v>21</v>
      </c>
      <c r="E17" t="s">
        <v>26</v>
      </c>
      <c r="F17" s="1">
        <v>45357</v>
      </c>
      <c r="G17" s="1">
        <v>45394</v>
      </c>
      <c r="H17">
        <v>433730</v>
      </c>
      <c r="I17">
        <v>12838</v>
      </c>
      <c r="J17">
        <v>301</v>
      </c>
      <c r="K17">
        <v>14409.03</v>
      </c>
      <c r="L17">
        <v>78475.25</v>
      </c>
      <c r="M17">
        <v>2.96</v>
      </c>
      <c r="N17">
        <v>2.35</v>
      </c>
      <c r="O17">
        <v>1.1200000000000001</v>
      </c>
      <c r="P17">
        <v>47.87</v>
      </c>
      <c r="Q17">
        <v>5.45</v>
      </c>
      <c r="R17">
        <v>444.63</v>
      </c>
    </row>
    <row r="18" spans="1:18" x14ac:dyDescent="0.3">
      <c r="A18" t="s">
        <v>64</v>
      </c>
      <c r="B18" t="s">
        <v>65</v>
      </c>
      <c r="C18" t="s">
        <v>37</v>
      </c>
      <c r="D18" t="s">
        <v>34</v>
      </c>
      <c r="E18" t="s">
        <v>22</v>
      </c>
      <c r="F18" s="1">
        <v>45394</v>
      </c>
      <c r="G18" s="1">
        <v>45420</v>
      </c>
      <c r="H18">
        <v>326653</v>
      </c>
      <c r="I18">
        <v>30150</v>
      </c>
      <c r="J18">
        <v>3687</v>
      </c>
      <c r="K18">
        <v>1453.09</v>
      </c>
      <c r="L18">
        <v>6432.59</v>
      </c>
      <c r="M18">
        <v>9.23</v>
      </c>
      <c r="N18">
        <v>12.23</v>
      </c>
      <c r="O18">
        <v>0.05</v>
      </c>
      <c r="P18">
        <v>0.39</v>
      </c>
      <c r="Q18">
        <v>4.43</v>
      </c>
      <c r="R18">
        <v>342.68</v>
      </c>
    </row>
    <row r="19" spans="1:18" x14ac:dyDescent="0.3">
      <c r="A19" t="s">
        <v>66</v>
      </c>
      <c r="B19" t="s">
        <v>67</v>
      </c>
      <c r="C19" t="s">
        <v>25</v>
      </c>
      <c r="D19" t="s">
        <v>57</v>
      </c>
      <c r="E19" t="s">
        <v>38</v>
      </c>
      <c r="F19" s="1">
        <v>45575</v>
      </c>
      <c r="G19" s="1">
        <v>45596</v>
      </c>
      <c r="H19">
        <v>321358</v>
      </c>
      <c r="I19">
        <v>5045</v>
      </c>
      <c r="J19">
        <v>340</v>
      </c>
      <c r="K19">
        <v>5024.41</v>
      </c>
      <c r="L19">
        <v>10524.4</v>
      </c>
      <c r="M19">
        <v>1.57</v>
      </c>
      <c r="N19">
        <v>6.74</v>
      </c>
      <c r="O19">
        <v>1</v>
      </c>
      <c r="P19">
        <v>14.78</v>
      </c>
      <c r="Q19">
        <v>2.09</v>
      </c>
      <c r="R19">
        <v>109.47</v>
      </c>
    </row>
    <row r="20" spans="1:18" x14ac:dyDescent="0.3">
      <c r="A20" t="s">
        <v>68</v>
      </c>
      <c r="B20" t="s">
        <v>69</v>
      </c>
      <c r="C20" t="s">
        <v>37</v>
      </c>
      <c r="D20" t="s">
        <v>34</v>
      </c>
      <c r="E20" t="s">
        <v>26</v>
      </c>
      <c r="F20" s="1">
        <v>45461</v>
      </c>
      <c r="G20" s="1">
        <v>45472</v>
      </c>
      <c r="H20">
        <v>87220</v>
      </c>
      <c r="I20">
        <v>7195</v>
      </c>
      <c r="J20">
        <v>618</v>
      </c>
      <c r="K20">
        <v>803.3</v>
      </c>
      <c r="L20">
        <v>1720.15</v>
      </c>
      <c r="M20">
        <v>8.25</v>
      </c>
      <c r="N20">
        <v>8.59</v>
      </c>
      <c r="O20">
        <v>0.11</v>
      </c>
      <c r="P20">
        <v>1.3</v>
      </c>
      <c r="Q20">
        <v>2.14</v>
      </c>
      <c r="R20">
        <v>114.14</v>
      </c>
    </row>
    <row r="21" spans="1:18" x14ac:dyDescent="0.3">
      <c r="A21" t="s">
        <v>70</v>
      </c>
      <c r="B21" t="s">
        <v>71</v>
      </c>
      <c r="C21" t="s">
        <v>37</v>
      </c>
      <c r="D21" t="s">
        <v>34</v>
      </c>
      <c r="E21" t="s">
        <v>22</v>
      </c>
      <c r="F21" s="1">
        <v>45587</v>
      </c>
      <c r="G21" s="1">
        <v>45624</v>
      </c>
      <c r="H21">
        <v>400737</v>
      </c>
      <c r="I21">
        <v>27690</v>
      </c>
      <c r="J21">
        <v>3707</v>
      </c>
      <c r="K21">
        <v>3755.09</v>
      </c>
      <c r="L21">
        <v>22420.61</v>
      </c>
      <c r="M21">
        <v>6.91</v>
      </c>
      <c r="N21">
        <v>13.39</v>
      </c>
      <c r="O21">
        <v>0.14000000000000001</v>
      </c>
      <c r="P21">
        <v>1.01</v>
      </c>
      <c r="Q21">
        <v>5.97</v>
      </c>
      <c r="R21">
        <v>497.07</v>
      </c>
    </row>
    <row r="22" spans="1:18" x14ac:dyDescent="0.3">
      <c r="A22" t="s">
        <v>72</v>
      </c>
      <c r="B22" t="s">
        <v>73</v>
      </c>
      <c r="C22" t="s">
        <v>29</v>
      </c>
      <c r="D22" t="s">
        <v>30</v>
      </c>
      <c r="E22" t="s">
        <v>38</v>
      </c>
      <c r="F22" s="1">
        <v>45319</v>
      </c>
      <c r="G22" s="1">
        <v>45332</v>
      </c>
      <c r="H22">
        <v>149829</v>
      </c>
      <c r="I22">
        <v>2666</v>
      </c>
      <c r="J22">
        <v>141</v>
      </c>
      <c r="K22">
        <v>8314.4599999999991</v>
      </c>
      <c r="L22">
        <v>32010.34</v>
      </c>
      <c r="M22">
        <v>1.78</v>
      </c>
      <c r="N22">
        <v>5.29</v>
      </c>
      <c r="O22">
        <v>3.12</v>
      </c>
      <c r="P22">
        <v>58.97</v>
      </c>
      <c r="Q22">
        <v>3.85</v>
      </c>
      <c r="R22">
        <v>285</v>
      </c>
    </row>
    <row r="23" spans="1:18" x14ac:dyDescent="0.3">
      <c r="A23" t="s">
        <v>74</v>
      </c>
      <c r="B23" t="s">
        <v>75</v>
      </c>
      <c r="C23" t="s">
        <v>20</v>
      </c>
      <c r="D23" t="s">
        <v>30</v>
      </c>
      <c r="E23" t="s">
        <v>22</v>
      </c>
      <c r="F23" s="1">
        <v>45508</v>
      </c>
      <c r="G23" s="1">
        <v>45526</v>
      </c>
      <c r="H23">
        <v>469741</v>
      </c>
      <c r="I23">
        <v>27949</v>
      </c>
      <c r="J23">
        <v>1534</v>
      </c>
      <c r="K23">
        <v>8804.18</v>
      </c>
      <c r="L23">
        <v>35381.89</v>
      </c>
      <c r="M23">
        <v>5.95</v>
      </c>
      <c r="N23">
        <v>5.49</v>
      </c>
      <c r="O23">
        <v>0.32</v>
      </c>
      <c r="P23">
        <v>5.74</v>
      </c>
      <c r="Q23">
        <v>4.0199999999999996</v>
      </c>
      <c r="R23">
        <v>301.88</v>
      </c>
    </row>
    <row r="24" spans="1:18" x14ac:dyDescent="0.3">
      <c r="A24" t="s">
        <v>76</v>
      </c>
      <c r="B24" t="s">
        <v>77</v>
      </c>
      <c r="C24" t="s">
        <v>44</v>
      </c>
      <c r="D24" t="s">
        <v>30</v>
      </c>
      <c r="E24" t="s">
        <v>41</v>
      </c>
      <c r="F24" s="1">
        <v>45568</v>
      </c>
      <c r="G24" s="1">
        <v>45575</v>
      </c>
      <c r="H24">
        <v>89523</v>
      </c>
      <c r="I24">
        <v>2103</v>
      </c>
      <c r="J24">
        <v>94</v>
      </c>
      <c r="K24">
        <v>9379.07</v>
      </c>
      <c r="L24">
        <v>20893.259999999998</v>
      </c>
      <c r="M24">
        <v>2.35</v>
      </c>
      <c r="N24">
        <v>4.51</v>
      </c>
      <c r="O24">
        <v>4.46</v>
      </c>
      <c r="P24">
        <v>99.78</v>
      </c>
      <c r="Q24">
        <v>2.23</v>
      </c>
      <c r="R24">
        <v>122.76</v>
      </c>
    </row>
    <row r="25" spans="1:18" x14ac:dyDescent="0.3">
      <c r="A25" t="s">
        <v>78</v>
      </c>
      <c r="B25" t="s">
        <v>79</v>
      </c>
      <c r="C25" t="s">
        <v>20</v>
      </c>
      <c r="D25" t="s">
        <v>34</v>
      </c>
      <c r="E25" t="s">
        <v>41</v>
      </c>
      <c r="F25" s="1">
        <v>45486</v>
      </c>
      <c r="G25" s="1">
        <v>45493</v>
      </c>
      <c r="H25">
        <v>263078</v>
      </c>
      <c r="I25">
        <v>11680</v>
      </c>
      <c r="J25">
        <v>616</v>
      </c>
      <c r="K25">
        <v>13020.81</v>
      </c>
      <c r="L25">
        <v>29477.279999999999</v>
      </c>
      <c r="M25">
        <v>4.4400000000000004</v>
      </c>
      <c r="N25">
        <v>5.28</v>
      </c>
      <c r="O25">
        <v>1.1100000000000001</v>
      </c>
      <c r="P25">
        <v>21.14</v>
      </c>
      <c r="Q25">
        <v>2.2599999999999998</v>
      </c>
      <c r="R25">
        <v>126.39</v>
      </c>
    </row>
    <row r="26" spans="1:18" x14ac:dyDescent="0.3">
      <c r="A26" t="s">
        <v>80</v>
      </c>
      <c r="B26" t="s">
        <v>81</v>
      </c>
      <c r="C26" t="s">
        <v>25</v>
      </c>
      <c r="D26" t="s">
        <v>57</v>
      </c>
      <c r="E26" t="s">
        <v>38</v>
      </c>
      <c r="F26" s="1">
        <v>45541</v>
      </c>
      <c r="G26" s="1">
        <v>45557</v>
      </c>
      <c r="H26">
        <v>199552</v>
      </c>
      <c r="I26">
        <v>3033</v>
      </c>
      <c r="J26">
        <v>354</v>
      </c>
      <c r="K26">
        <v>19926.759999999998</v>
      </c>
      <c r="L26">
        <v>89689.5</v>
      </c>
      <c r="M26">
        <v>1.52</v>
      </c>
      <c r="N26">
        <v>11.7</v>
      </c>
      <c r="O26">
        <v>6.57</v>
      </c>
      <c r="P26">
        <v>56.29</v>
      </c>
      <c r="Q26">
        <v>4.5</v>
      </c>
      <c r="R26">
        <v>350.1</v>
      </c>
    </row>
    <row r="27" spans="1:18" x14ac:dyDescent="0.3">
      <c r="A27" t="s">
        <v>82</v>
      </c>
      <c r="B27" t="s">
        <v>83</v>
      </c>
      <c r="C27" t="s">
        <v>29</v>
      </c>
      <c r="D27" t="s">
        <v>57</v>
      </c>
      <c r="E27" t="s">
        <v>41</v>
      </c>
      <c r="F27" s="1">
        <v>45591</v>
      </c>
      <c r="G27" s="1">
        <v>45628</v>
      </c>
      <c r="H27">
        <v>80662</v>
      </c>
      <c r="I27">
        <v>2613</v>
      </c>
      <c r="J27">
        <v>123</v>
      </c>
      <c r="K27">
        <v>14219.63</v>
      </c>
      <c r="L27">
        <v>32097.17</v>
      </c>
      <c r="M27">
        <v>3.24</v>
      </c>
      <c r="N27">
        <v>4.71</v>
      </c>
      <c r="O27">
        <v>5.44</v>
      </c>
      <c r="P27">
        <v>115.61</v>
      </c>
      <c r="Q27">
        <v>2.2599999999999998</v>
      </c>
      <c r="R27">
        <v>125.72</v>
      </c>
    </row>
    <row r="28" spans="1:18" x14ac:dyDescent="0.3">
      <c r="A28" t="s">
        <v>84</v>
      </c>
      <c r="B28" t="s">
        <v>85</v>
      </c>
      <c r="C28" t="s">
        <v>37</v>
      </c>
      <c r="D28" t="s">
        <v>34</v>
      </c>
      <c r="E28" t="s">
        <v>26</v>
      </c>
      <c r="F28" s="1">
        <v>45412</v>
      </c>
      <c r="G28" s="1">
        <v>45444</v>
      </c>
      <c r="H28">
        <v>316248</v>
      </c>
      <c r="I28">
        <v>14167</v>
      </c>
      <c r="J28">
        <v>1396</v>
      </c>
      <c r="K28">
        <v>3177.66</v>
      </c>
      <c r="L28">
        <v>16010.5</v>
      </c>
      <c r="M28">
        <v>4.4800000000000004</v>
      </c>
      <c r="N28">
        <v>9.86</v>
      </c>
      <c r="O28">
        <v>0.22</v>
      </c>
      <c r="P28">
        <v>2.2799999999999998</v>
      </c>
      <c r="Q28">
        <v>5.04</v>
      </c>
      <c r="R28">
        <v>403.85</v>
      </c>
    </row>
    <row r="29" spans="1:18" x14ac:dyDescent="0.3">
      <c r="A29" t="s">
        <v>86</v>
      </c>
      <c r="B29" t="s">
        <v>87</v>
      </c>
      <c r="C29" t="s">
        <v>20</v>
      </c>
      <c r="D29" t="s">
        <v>34</v>
      </c>
      <c r="E29" t="s">
        <v>31</v>
      </c>
      <c r="F29" s="1">
        <v>45453</v>
      </c>
      <c r="G29" s="1">
        <v>45476</v>
      </c>
      <c r="H29">
        <v>361699</v>
      </c>
      <c r="I29">
        <v>9621</v>
      </c>
      <c r="J29">
        <v>431</v>
      </c>
      <c r="K29">
        <v>18147.46</v>
      </c>
      <c r="L29">
        <v>82453.37</v>
      </c>
      <c r="M29">
        <v>2.66</v>
      </c>
      <c r="N29">
        <v>4.49</v>
      </c>
      <c r="O29">
        <v>1.89</v>
      </c>
      <c r="P29">
        <v>42.11</v>
      </c>
      <c r="Q29">
        <v>4.54</v>
      </c>
      <c r="R29">
        <v>354.35</v>
      </c>
    </row>
    <row r="30" spans="1:18" x14ac:dyDescent="0.3">
      <c r="A30" t="s">
        <v>88</v>
      </c>
      <c r="B30" t="s">
        <v>89</v>
      </c>
      <c r="C30" t="s">
        <v>29</v>
      </c>
      <c r="D30" t="s">
        <v>57</v>
      </c>
      <c r="E30" t="s">
        <v>41</v>
      </c>
      <c r="F30" s="1">
        <v>45329</v>
      </c>
      <c r="G30" s="1">
        <v>45336</v>
      </c>
      <c r="H30">
        <v>189258</v>
      </c>
      <c r="I30">
        <v>5091</v>
      </c>
      <c r="J30">
        <v>272</v>
      </c>
      <c r="K30">
        <v>7499.96</v>
      </c>
      <c r="L30">
        <v>25670.84</v>
      </c>
      <c r="M30">
        <v>2.69</v>
      </c>
      <c r="N30">
        <v>5.36</v>
      </c>
      <c r="O30">
        <v>1.47</v>
      </c>
      <c r="P30">
        <v>27.57</v>
      </c>
      <c r="Q30">
        <v>3.42</v>
      </c>
      <c r="R30">
        <v>242.28</v>
      </c>
    </row>
    <row r="31" spans="1:18" x14ac:dyDescent="0.3">
      <c r="A31" t="s">
        <v>90</v>
      </c>
      <c r="B31" t="s">
        <v>91</v>
      </c>
      <c r="C31" t="s">
        <v>25</v>
      </c>
      <c r="D31" t="s">
        <v>21</v>
      </c>
      <c r="E31" t="s">
        <v>26</v>
      </c>
      <c r="F31" s="1">
        <v>45417</v>
      </c>
      <c r="G31" s="1">
        <v>45447</v>
      </c>
      <c r="H31">
        <v>331875</v>
      </c>
      <c r="I31">
        <v>3849</v>
      </c>
      <c r="J31">
        <v>264</v>
      </c>
      <c r="K31">
        <v>18932.150000000001</v>
      </c>
      <c r="L31">
        <v>112909.24</v>
      </c>
      <c r="M31">
        <v>1.1599999999999999</v>
      </c>
      <c r="N31">
        <v>6.86</v>
      </c>
      <c r="O31">
        <v>4.92</v>
      </c>
      <c r="P31">
        <v>71.709999999999994</v>
      </c>
      <c r="Q31">
        <v>5.96</v>
      </c>
      <c r="R31">
        <v>496.39</v>
      </c>
    </row>
    <row r="32" spans="1:18" x14ac:dyDescent="0.3">
      <c r="A32" t="s">
        <v>92</v>
      </c>
      <c r="B32" t="s">
        <v>93</v>
      </c>
      <c r="C32" t="s">
        <v>44</v>
      </c>
      <c r="D32" t="s">
        <v>34</v>
      </c>
      <c r="E32" t="s">
        <v>38</v>
      </c>
      <c r="F32" s="1">
        <v>45562</v>
      </c>
      <c r="G32" s="1">
        <v>45569</v>
      </c>
      <c r="H32">
        <v>487122</v>
      </c>
      <c r="I32">
        <v>12713</v>
      </c>
      <c r="J32">
        <v>325</v>
      </c>
      <c r="K32">
        <v>14798.17</v>
      </c>
      <c r="L32">
        <v>83342.55</v>
      </c>
      <c r="M32">
        <v>2.61</v>
      </c>
      <c r="N32">
        <v>2.56</v>
      </c>
      <c r="O32">
        <v>1.1599999999999999</v>
      </c>
      <c r="P32">
        <v>45.53</v>
      </c>
      <c r="Q32">
        <v>5.63</v>
      </c>
      <c r="R32">
        <v>463.19</v>
      </c>
    </row>
    <row r="33" spans="1:18" x14ac:dyDescent="0.3">
      <c r="A33" t="s">
        <v>94</v>
      </c>
      <c r="B33" t="s">
        <v>95</v>
      </c>
      <c r="C33" t="s">
        <v>37</v>
      </c>
      <c r="D33" t="s">
        <v>57</v>
      </c>
      <c r="E33" t="s">
        <v>26</v>
      </c>
      <c r="F33" s="1">
        <v>45436</v>
      </c>
      <c r="G33" s="1">
        <v>45481</v>
      </c>
      <c r="H33">
        <v>120407</v>
      </c>
      <c r="I33">
        <v>6730</v>
      </c>
      <c r="J33">
        <v>1137</v>
      </c>
      <c r="K33">
        <v>3840.88</v>
      </c>
      <c r="L33">
        <v>10368.52</v>
      </c>
      <c r="M33">
        <v>5.59</v>
      </c>
      <c r="N33">
        <v>16.899999999999999</v>
      </c>
      <c r="O33">
        <v>0.56999999999999995</v>
      </c>
      <c r="P33">
        <v>3.38</v>
      </c>
      <c r="Q33">
        <v>2.7</v>
      </c>
      <c r="R33">
        <v>169.95</v>
      </c>
    </row>
    <row r="34" spans="1:18" x14ac:dyDescent="0.3">
      <c r="A34" t="s">
        <v>96</v>
      </c>
      <c r="B34" t="s">
        <v>97</v>
      </c>
      <c r="C34" t="s">
        <v>29</v>
      </c>
      <c r="D34" t="s">
        <v>57</v>
      </c>
      <c r="E34" t="s">
        <v>41</v>
      </c>
      <c r="F34" s="1">
        <v>45318</v>
      </c>
      <c r="G34" s="1">
        <v>45330</v>
      </c>
      <c r="H34">
        <v>410446</v>
      </c>
      <c r="I34">
        <v>13955</v>
      </c>
      <c r="J34">
        <v>463</v>
      </c>
      <c r="K34">
        <v>10327.98</v>
      </c>
      <c r="L34">
        <v>62732.3</v>
      </c>
      <c r="M34">
        <v>3.4</v>
      </c>
      <c r="N34">
        <v>3.32</v>
      </c>
      <c r="O34">
        <v>0.74</v>
      </c>
      <c r="P34">
        <v>22.31</v>
      </c>
      <c r="Q34">
        <v>6.07</v>
      </c>
      <c r="R34">
        <v>507.4</v>
      </c>
    </row>
    <row r="35" spans="1:18" x14ac:dyDescent="0.3">
      <c r="A35" t="s">
        <v>98</v>
      </c>
      <c r="B35" t="s">
        <v>99</v>
      </c>
      <c r="C35" t="s">
        <v>25</v>
      </c>
      <c r="D35" t="s">
        <v>57</v>
      </c>
      <c r="E35" t="s">
        <v>26</v>
      </c>
      <c r="F35" s="1">
        <v>45518</v>
      </c>
      <c r="G35" s="1">
        <v>45560</v>
      </c>
      <c r="H35">
        <v>51858</v>
      </c>
      <c r="I35">
        <v>710</v>
      </c>
      <c r="J35">
        <v>42</v>
      </c>
      <c r="K35">
        <v>19676.77</v>
      </c>
      <c r="L35">
        <v>53660.89</v>
      </c>
      <c r="M35">
        <v>1.37</v>
      </c>
      <c r="N35">
        <v>5.92</v>
      </c>
      <c r="O35">
        <v>27.71</v>
      </c>
      <c r="P35">
        <v>468.49</v>
      </c>
      <c r="Q35">
        <v>2.73</v>
      </c>
      <c r="R35">
        <v>172.71</v>
      </c>
    </row>
    <row r="36" spans="1:18" x14ac:dyDescent="0.3">
      <c r="A36" t="s">
        <v>100</v>
      </c>
      <c r="B36" t="s">
        <v>101</v>
      </c>
      <c r="C36" t="s">
        <v>25</v>
      </c>
      <c r="D36" t="s">
        <v>21</v>
      </c>
      <c r="E36" t="s">
        <v>26</v>
      </c>
      <c r="F36" s="1">
        <v>45481</v>
      </c>
      <c r="G36" s="1">
        <v>45525</v>
      </c>
      <c r="H36">
        <v>89449</v>
      </c>
      <c r="I36">
        <v>2155</v>
      </c>
      <c r="J36">
        <v>212</v>
      </c>
      <c r="K36">
        <v>6384.87</v>
      </c>
      <c r="L36">
        <v>13804.9</v>
      </c>
      <c r="M36">
        <v>2.41</v>
      </c>
      <c r="N36">
        <v>9.84</v>
      </c>
      <c r="O36">
        <v>2.96</v>
      </c>
      <c r="P36">
        <v>30.12</v>
      </c>
      <c r="Q36">
        <v>2.16</v>
      </c>
      <c r="R36">
        <v>116.21</v>
      </c>
    </row>
    <row r="37" spans="1:18" x14ac:dyDescent="0.3">
      <c r="A37" t="s">
        <v>102</v>
      </c>
      <c r="B37" t="s">
        <v>103</v>
      </c>
      <c r="C37" t="s">
        <v>37</v>
      </c>
      <c r="D37" t="s">
        <v>34</v>
      </c>
      <c r="E37" t="s">
        <v>38</v>
      </c>
      <c r="F37" s="1">
        <v>45312</v>
      </c>
      <c r="G37" s="1">
        <v>45341</v>
      </c>
      <c r="H37">
        <v>116818</v>
      </c>
      <c r="I37">
        <v>4964</v>
      </c>
      <c r="J37">
        <v>578</v>
      </c>
      <c r="K37">
        <v>4698.8999999999996</v>
      </c>
      <c r="L37">
        <v>29954.94</v>
      </c>
      <c r="M37">
        <v>4.25</v>
      </c>
      <c r="N37">
        <v>11.65</v>
      </c>
      <c r="O37">
        <v>0.95</v>
      </c>
      <c r="P37">
        <v>8.1300000000000008</v>
      </c>
      <c r="Q37">
        <v>6.37</v>
      </c>
      <c r="R37">
        <v>537.49</v>
      </c>
    </row>
    <row r="38" spans="1:18" x14ac:dyDescent="0.3">
      <c r="A38" t="s">
        <v>104</v>
      </c>
      <c r="B38" t="s">
        <v>105</v>
      </c>
      <c r="C38" t="s">
        <v>29</v>
      </c>
      <c r="D38" t="s">
        <v>34</v>
      </c>
      <c r="E38" t="s">
        <v>26</v>
      </c>
      <c r="F38" s="1">
        <v>45371</v>
      </c>
      <c r="G38" s="1">
        <v>45393</v>
      </c>
      <c r="H38">
        <v>235429</v>
      </c>
      <c r="I38">
        <v>9040</v>
      </c>
      <c r="J38">
        <v>580</v>
      </c>
      <c r="K38">
        <v>9095.66</v>
      </c>
      <c r="L38">
        <v>43595.29</v>
      </c>
      <c r="M38">
        <v>3.84</v>
      </c>
      <c r="N38">
        <v>6.42</v>
      </c>
      <c r="O38">
        <v>1.01</v>
      </c>
      <c r="P38">
        <v>15.68</v>
      </c>
      <c r="Q38">
        <v>4.79</v>
      </c>
      <c r="R38">
        <v>379.3</v>
      </c>
    </row>
    <row r="39" spans="1:18" x14ac:dyDescent="0.3">
      <c r="A39" t="s">
        <v>106</v>
      </c>
      <c r="B39" t="s">
        <v>107</v>
      </c>
      <c r="C39" t="s">
        <v>29</v>
      </c>
      <c r="D39" t="s">
        <v>34</v>
      </c>
      <c r="E39" t="s">
        <v>38</v>
      </c>
      <c r="F39" s="1">
        <v>45419</v>
      </c>
      <c r="G39" s="1">
        <v>45443</v>
      </c>
      <c r="H39">
        <v>62995</v>
      </c>
      <c r="I39">
        <v>1285</v>
      </c>
      <c r="J39">
        <v>85</v>
      </c>
      <c r="K39">
        <v>14735.8</v>
      </c>
      <c r="L39">
        <v>56772.75</v>
      </c>
      <c r="M39">
        <v>2.04</v>
      </c>
      <c r="N39">
        <v>6.62</v>
      </c>
      <c r="O39">
        <v>11.47</v>
      </c>
      <c r="P39">
        <v>173.36</v>
      </c>
      <c r="Q39">
        <v>3.85</v>
      </c>
      <c r="R39">
        <v>285.27</v>
      </c>
    </row>
    <row r="40" spans="1:18" x14ac:dyDescent="0.3">
      <c r="A40" t="s">
        <v>108</v>
      </c>
      <c r="B40" t="s">
        <v>109</v>
      </c>
      <c r="C40" t="s">
        <v>29</v>
      </c>
      <c r="D40" t="s">
        <v>21</v>
      </c>
      <c r="E40" t="s">
        <v>38</v>
      </c>
      <c r="F40" s="1">
        <v>45448</v>
      </c>
      <c r="G40" s="1">
        <v>45469</v>
      </c>
      <c r="H40">
        <v>70302</v>
      </c>
      <c r="I40">
        <v>2868</v>
      </c>
      <c r="J40">
        <v>89</v>
      </c>
      <c r="K40">
        <v>15248.8</v>
      </c>
      <c r="L40">
        <v>62083.42</v>
      </c>
      <c r="M40">
        <v>4.08</v>
      </c>
      <c r="N40">
        <v>3.11</v>
      </c>
      <c r="O40">
        <v>5.32</v>
      </c>
      <c r="P40">
        <v>171.33</v>
      </c>
      <c r="Q40">
        <v>4.07</v>
      </c>
      <c r="R40">
        <v>307.14</v>
      </c>
    </row>
    <row r="41" spans="1:18" x14ac:dyDescent="0.3">
      <c r="A41" t="s">
        <v>110</v>
      </c>
      <c r="B41" t="s">
        <v>111</v>
      </c>
      <c r="C41" t="s">
        <v>29</v>
      </c>
      <c r="D41" t="s">
        <v>21</v>
      </c>
      <c r="E41" t="s">
        <v>41</v>
      </c>
      <c r="F41" s="1">
        <v>45620</v>
      </c>
      <c r="G41" s="1">
        <v>45659</v>
      </c>
      <c r="H41">
        <v>258910</v>
      </c>
      <c r="I41">
        <v>6420</v>
      </c>
      <c r="J41">
        <v>405</v>
      </c>
      <c r="K41">
        <v>17503.34</v>
      </c>
      <c r="L41">
        <v>56991.97</v>
      </c>
      <c r="M41">
        <v>2.48</v>
      </c>
      <c r="N41">
        <v>6.32</v>
      </c>
      <c r="O41">
        <v>2.73</v>
      </c>
      <c r="P41">
        <v>43.22</v>
      </c>
      <c r="Q41">
        <v>3.26</v>
      </c>
      <c r="R41">
        <v>225.61</v>
      </c>
    </row>
    <row r="42" spans="1:18" x14ac:dyDescent="0.3">
      <c r="A42" t="s">
        <v>112</v>
      </c>
      <c r="B42" t="s">
        <v>113</v>
      </c>
      <c r="C42" t="s">
        <v>25</v>
      </c>
      <c r="D42" t="s">
        <v>57</v>
      </c>
      <c r="E42" t="s">
        <v>26</v>
      </c>
      <c r="F42" s="1">
        <v>45311</v>
      </c>
      <c r="G42" s="1">
        <v>45324</v>
      </c>
      <c r="H42">
        <v>110472</v>
      </c>
      <c r="I42">
        <v>2529</v>
      </c>
      <c r="J42">
        <v>172</v>
      </c>
      <c r="K42">
        <v>13289.44</v>
      </c>
      <c r="L42">
        <v>85397.64</v>
      </c>
      <c r="M42">
        <v>2.29</v>
      </c>
      <c r="N42">
        <v>6.83</v>
      </c>
      <c r="O42">
        <v>5.25</v>
      </c>
      <c r="P42">
        <v>77.260000000000005</v>
      </c>
      <c r="Q42">
        <v>6.43</v>
      </c>
      <c r="R42">
        <v>542.6</v>
      </c>
    </row>
    <row r="43" spans="1:18" x14ac:dyDescent="0.3">
      <c r="A43" t="s">
        <v>114</v>
      </c>
      <c r="B43" t="s">
        <v>115</v>
      </c>
      <c r="C43" t="s">
        <v>37</v>
      </c>
      <c r="D43" t="s">
        <v>30</v>
      </c>
      <c r="E43" t="s">
        <v>22</v>
      </c>
      <c r="F43" s="1">
        <v>45587</v>
      </c>
      <c r="G43" s="1">
        <v>45606</v>
      </c>
      <c r="H43">
        <v>431967</v>
      </c>
      <c r="I43">
        <v>37667</v>
      </c>
      <c r="J43">
        <v>4655</v>
      </c>
      <c r="K43">
        <v>4929.0600000000004</v>
      </c>
      <c r="L43">
        <v>12423.23</v>
      </c>
      <c r="M43">
        <v>8.7200000000000006</v>
      </c>
      <c r="N43">
        <v>12.36</v>
      </c>
      <c r="O43">
        <v>0.13</v>
      </c>
      <c r="P43">
        <v>1.06</v>
      </c>
      <c r="Q43">
        <v>2.52</v>
      </c>
      <c r="R43">
        <v>152.04</v>
      </c>
    </row>
    <row r="44" spans="1:18" x14ac:dyDescent="0.3">
      <c r="A44" t="s">
        <v>116</v>
      </c>
      <c r="B44" t="s">
        <v>117</v>
      </c>
      <c r="C44" t="s">
        <v>44</v>
      </c>
      <c r="D44" t="s">
        <v>21</v>
      </c>
      <c r="E44" t="s">
        <v>38</v>
      </c>
      <c r="F44" s="1">
        <v>45392</v>
      </c>
      <c r="G44" s="1">
        <v>45422</v>
      </c>
      <c r="H44">
        <v>50886</v>
      </c>
      <c r="I44">
        <v>1297</v>
      </c>
      <c r="J44">
        <v>56</v>
      </c>
      <c r="K44">
        <v>11085.71</v>
      </c>
      <c r="L44">
        <v>69077.100000000006</v>
      </c>
      <c r="M44">
        <v>2.5499999999999998</v>
      </c>
      <c r="N44">
        <v>4.32</v>
      </c>
      <c r="O44">
        <v>8.5500000000000007</v>
      </c>
      <c r="P44">
        <v>197.96</v>
      </c>
      <c r="Q44">
        <v>6.23</v>
      </c>
      <c r="R44">
        <v>523.12</v>
      </c>
    </row>
    <row r="45" spans="1:18" x14ac:dyDescent="0.3">
      <c r="A45" t="s">
        <v>118</v>
      </c>
      <c r="B45" t="s">
        <v>119</v>
      </c>
      <c r="C45" t="s">
        <v>25</v>
      </c>
      <c r="D45" t="s">
        <v>21</v>
      </c>
      <c r="E45" t="s">
        <v>22</v>
      </c>
      <c r="F45" s="1">
        <v>45450</v>
      </c>
      <c r="G45" s="1">
        <v>45483</v>
      </c>
      <c r="H45">
        <v>376712</v>
      </c>
      <c r="I45">
        <v>5010</v>
      </c>
      <c r="J45">
        <v>548</v>
      </c>
      <c r="K45">
        <v>15516.07</v>
      </c>
      <c r="L45">
        <v>52001.34</v>
      </c>
      <c r="M45">
        <v>1.33</v>
      </c>
      <c r="N45">
        <v>10.94</v>
      </c>
      <c r="O45">
        <v>3.1</v>
      </c>
      <c r="P45">
        <v>28.31</v>
      </c>
      <c r="Q45">
        <v>3.35</v>
      </c>
      <c r="R45">
        <v>235.15</v>
      </c>
    </row>
    <row r="46" spans="1:18" x14ac:dyDescent="0.3">
      <c r="A46" t="s">
        <v>120</v>
      </c>
      <c r="B46" t="s">
        <v>121</v>
      </c>
      <c r="C46" t="s">
        <v>44</v>
      </c>
      <c r="D46" t="s">
        <v>30</v>
      </c>
      <c r="E46" t="s">
        <v>22</v>
      </c>
      <c r="F46" s="1">
        <v>45381</v>
      </c>
      <c r="G46" s="1">
        <v>45424</v>
      </c>
      <c r="H46">
        <v>340671</v>
      </c>
      <c r="I46">
        <v>5212</v>
      </c>
      <c r="J46">
        <v>154</v>
      </c>
      <c r="K46">
        <v>14254.55</v>
      </c>
      <c r="L46">
        <v>71955.98</v>
      </c>
      <c r="M46">
        <v>1.53</v>
      </c>
      <c r="N46">
        <v>2.97</v>
      </c>
      <c r="O46">
        <v>2.73</v>
      </c>
      <c r="P46">
        <v>92.56</v>
      </c>
      <c r="Q46">
        <v>5.05</v>
      </c>
      <c r="R46">
        <v>404.79</v>
      </c>
    </row>
    <row r="47" spans="1:18" x14ac:dyDescent="0.3">
      <c r="A47" t="s">
        <v>122</v>
      </c>
      <c r="B47" t="s">
        <v>123</v>
      </c>
      <c r="C47" t="s">
        <v>44</v>
      </c>
      <c r="D47" t="s">
        <v>30</v>
      </c>
      <c r="E47" t="s">
        <v>31</v>
      </c>
      <c r="F47" s="1">
        <v>45456</v>
      </c>
      <c r="G47" s="1">
        <v>45492</v>
      </c>
      <c r="H47">
        <v>487112</v>
      </c>
      <c r="I47">
        <v>5845</v>
      </c>
      <c r="J47">
        <v>146</v>
      </c>
      <c r="K47">
        <v>7873.6</v>
      </c>
      <c r="L47">
        <v>36296.76</v>
      </c>
      <c r="M47">
        <v>1.2</v>
      </c>
      <c r="N47">
        <v>2.5</v>
      </c>
      <c r="O47">
        <v>1.35</v>
      </c>
      <c r="P47">
        <v>53.93</v>
      </c>
      <c r="Q47">
        <v>4.6100000000000003</v>
      </c>
      <c r="R47">
        <v>360.99</v>
      </c>
    </row>
    <row r="48" spans="1:18" x14ac:dyDescent="0.3">
      <c r="A48" t="s">
        <v>124</v>
      </c>
      <c r="B48" t="s">
        <v>125</v>
      </c>
      <c r="C48" t="s">
        <v>25</v>
      </c>
      <c r="D48" t="s">
        <v>30</v>
      </c>
      <c r="E48" t="s">
        <v>41</v>
      </c>
      <c r="F48" s="1">
        <v>45335</v>
      </c>
      <c r="G48" s="1">
        <v>45360</v>
      </c>
      <c r="H48">
        <v>318002</v>
      </c>
      <c r="I48">
        <v>5088</v>
      </c>
      <c r="J48">
        <v>575</v>
      </c>
      <c r="K48">
        <v>16736.400000000001</v>
      </c>
      <c r="L48">
        <v>46252.9</v>
      </c>
      <c r="M48">
        <v>1.6</v>
      </c>
      <c r="N48">
        <v>11.31</v>
      </c>
      <c r="O48">
        <v>3.29</v>
      </c>
      <c r="P48">
        <v>29.11</v>
      </c>
      <c r="Q48">
        <v>2.76</v>
      </c>
      <c r="R48">
        <v>176.36</v>
      </c>
    </row>
    <row r="49" spans="1:18" x14ac:dyDescent="0.3">
      <c r="A49" t="s">
        <v>126</v>
      </c>
      <c r="B49" t="s">
        <v>127</v>
      </c>
      <c r="C49" t="s">
        <v>37</v>
      </c>
      <c r="D49" t="s">
        <v>57</v>
      </c>
      <c r="E49" t="s">
        <v>26</v>
      </c>
      <c r="F49" s="1">
        <v>45367</v>
      </c>
      <c r="G49" s="1">
        <v>45375</v>
      </c>
      <c r="H49">
        <v>479089</v>
      </c>
      <c r="I49">
        <v>46519</v>
      </c>
      <c r="J49">
        <v>4814</v>
      </c>
      <c r="K49">
        <v>1896.89</v>
      </c>
      <c r="L49">
        <v>10678.6</v>
      </c>
      <c r="M49">
        <v>9.7100000000000009</v>
      </c>
      <c r="N49">
        <v>10.35</v>
      </c>
      <c r="O49">
        <v>0.04</v>
      </c>
      <c r="P49">
        <v>0.39</v>
      </c>
      <c r="Q49">
        <v>5.63</v>
      </c>
      <c r="R49">
        <v>462.95</v>
      </c>
    </row>
    <row r="50" spans="1:18" x14ac:dyDescent="0.3">
      <c r="A50" t="s">
        <v>128</v>
      </c>
      <c r="B50" t="s">
        <v>129</v>
      </c>
      <c r="C50" t="s">
        <v>20</v>
      </c>
      <c r="D50" t="s">
        <v>34</v>
      </c>
      <c r="E50" t="s">
        <v>38</v>
      </c>
      <c r="F50" s="1">
        <v>45391</v>
      </c>
      <c r="G50" s="1">
        <v>45422</v>
      </c>
      <c r="H50">
        <v>370483</v>
      </c>
      <c r="I50">
        <v>21858</v>
      </c>
      <c r="J50">
        <v>970</v>
      </c>
      <c r="K50">
        <v>13288.82</v>
      </c>
      <c r="L50">
        <v>64237.41</v>
      </c>
      <c r="M50">
        <v>5.9</v>
      </c>
      <c r="N50">
        <v>4.4400000000000004</v>
      </c>
      <c r="O50">
        <v>0.61</v>
      </c>
      <c r="P50">
        <v>13.7</v>
      </c>
      <c r="Q50">
        <v>4.83</v>
      </c>
      <c r="R50">
        <v>383.39</v>
      </c>
    </row>
    <row r="51" spans="1:18" x14ac:dyDescent="0.3">
      <c r="A51" t="s">
        <v>130</v>
      </c>
      <c r="B51" t="s">
        <v>131</v>
      </c>
      <c r="C51" t="s">
        <v>25</v>
      </c>
      <c r="D51" t="s">
        <v>30</v>
      </c>
      <c r="E51" t="s">
        <v>41</v>
      </c>
      <c r="F51" s="1">
        <v>45346</v>
      </c>
      <c r="G51" s="1">
        <v>45380</v>
      </c>
      <c r="H51">
        <v>127369</v>
      </c>
      <c r="I51">
        <v>2445</v>
      </c>
      <c r="J51">
        <v>123</v>
      </c>
      <c r="K51">
        <v>16015.43</v>
      </c>
      <c r="L51">
        <v>87527.65</v>
      </c>
      <c r="M51">
        <v>1.92</v>
      </c>
      <c r="N51">
        <v>5.04</v>
      </c>
      <c r="O51">
        <v>6.55</v>
      </c>
      <c r="P51">
        <v>130.21</v>
      </c>
      <c r="Q51">
        <v>5.47</v>
      </c>
      <c r="R51">
        <v>446.52</v>
      </c>
    </row>
    <row r="52" spans="1:18" x14ac:dyDescent="0.3">
      <c r="A52" t="s">
        <v>132</v>
      </c>
      <c r="B52" t="s">
        <v>133</v>
      </c>
      <c r="C52" t="s">
        <v>29</v>
      </c>
      <c r="D52" t="s">
        <v>34</v>
      </c>
      <c r="E52" t="s">
        <v>31</v>
      </c>
      <c r="F52" s="1">
        <v>45529</v>
      </c>
      <c r="G52" s="1">
        <v>45569</v>
      </c>
      <c r="H52">
        <v>293557</v>
      </c>
      <c r="I52">
        <v>4843</v>
      </c>
      <c r="J52">
        <v>157</v>
      </c>
      <c r="K52">
        <v>15725.05</v>
      </c>
      <c r="L52">
        <v>63750.58</v>
      </c>
      <c r="M52">
        <v>1.65</v>
      </c>
      <c r="N52">
        <v>3.25</v>
      </c>
      <c r="O52">
        <v>3.25</v>
      </c>
      <c r="P52">
        <v>100.16</v>
      </c>
      <c r="Q52">
        <v>4.05</v>
      </c>
      <c r="R52">
        <v>305.41000000000003</v>
      </c>
    </row>
    <row r="53" spans="1:18" x14ac:dyDescent="0.3">
      <c r="A53" t="s">
        <v>134</v>
      </c>
      <c r="B53" t="s">
        <v>135</v>
      </c>
      <c r="C53" t="s">
        <v>37</v>
      </c>
      <c r="D53" t="s">
        <v>57</v>
      </c>
      <c r="E53" t="s">
        <v>38</v>
      </c>
      <c r="F53" s="1">
        <v>45520</v>
      </c>
      <c r="G53" s="1">
        <v>45537</v>
      </c>
      <c r="H53">
        <v>371206</v>
      </c>
      <c r="I53">
        <v>33000</v>
      </c>
      <c r="J53">
        <v>5583</v>
      </c>
      <c r="K53">
        <v>2420.33</v>
      </c>
      <c r="L53">
        <v>14717.65</v>
      </c>
      <c r="M53">
        <v>8.89</v>
      </c>
      <c r="N53">
        <v>16.920000000000002</v>
      </c>
      <c r="O53">
        <v>7.0000000000000007E-2</v>
      </c>
      <c r="P53">
        <v>0.43</v>
      </c>
      <c r="Q53">
        <v>6.08</v>
      </c>
      <c r="R53">
        <v>508.08</v>
      </c>
    </row>
    <row r="54" spans="1:18" x14ac:dyDescent="0.3">
      <c r="A54" t="s">
        <v>136</v>
      </c>
      <c r="B54" t="s">
        <v>137</v>
      </c>
      <c r="C54" t="s">
        <v>25</v>
      </c>
      <c r="D54" t="s">
        <v>30</v>
      </c>
      <c r="E54" t="s">
        <v>22</v>
      </c>
      <c r="F54" s="1">
        <v>45612</v>
      </c>
      <c r="G54" s="1">
        <v>45634</v>
      </c>
      <c r="H54">
        <v>444147</v>
      </c>
      <c r="I54">
        <v>5418</v>
      </c>
      <c r="J54">
        <v>512</v>
      </c>
      <c r="K54">
        <v>16253.02</v>
      </c>
      <c r="L54">
        <v>70633.17</v>
      </c>
      <c r="M54">
        <v>1.22</v>
      </c>
      <c r="N54">
        <v>9.4600000000000009</v>
      </c>
      <c r="O54">
        <v>3</v>
      </c>
      <c r="P54">
        <v>31.74</v>
      </c>
      <c r="Q54">
        <v>4.3499999999999996</v>
      </c>
      <c r="R54">
        <v>334.58</v>
      </c>
    </row>
    <row r="55" spans="1:18" x14ac:dyDescent="0.3">
      <c r="A55" t="s">
        <v>138</v>
      </c>
      <c r="B55" t="s">
        <v>139</v>
      </c>
      <c r="C55" t="s">
        <v>44</v>
      </c>
      <c r="D55" t="s">
        <v>30</v>
      </c>
      <c r="E55" t="s">
        <v>26</v>
      </c>
      <c r="F55" s="1">
        <v>45362</v>
      </c>
      <c r="G55" s="1">
        <v>45378</v>
      </c>
      <c r="H55">
        <v>424103</v>
      </c>
      <c r="I55">
        <v>8227</v>
      </c>
      <c r="J55">
        <v>201</v>
      </c>
      <c r="K55">
        <v>6496.37</v>
      </c>
      <c r="L55">
        <v>28783.37</v>
      </c>
      <c r="M55">
        <v>1.94</v>
      </c>
      <c r="N55">
        <v>2.4500000000000002</v>
      </c>
      <c r="O55">
        <v>0.79</v>
      </c>
      <c r="P55">
        <v>32.32</v>
      </c>
      <c r="Q55">
        <v>4.43</v>
      </c>
      <c r="R55">
        <v>343.07</v>
      </c>
    </row>
    <row r="56" spans="1:18" x14ac:dyDescent="0.3">
      <c r="A56" t="s">
        <v>140</v>
      </c>
      <c r="B56" t="s">
        <v>141</v>
      </c>
      <c r="C56" t="s">
        <v>29</v>
      </c>
      <c r="D56" t="s">
        <v>30</v>
      </c>
      <c r="E56" t="s">
        <v>41</v>
      </c>
      <c r="F56" s="1">
        <v>45323</v>
      </c>
      <c r="G56" s="1">
        <v>45343</v>
      </c>
      <c r="H56">
        <v>420367</v>
      </c>
      <c r="I56">
        <v>8995</v>
      </c>
      <c r="J56">
        <v>366</v>
      </c>
      <c r="K56">
        <v>7963.22</v>
      </c>
      <c r="L56">
        <v>32622.6</v>
      </c>
      <c r="M56">
        <v>2.14</v>
      </c>
      <c r="N56">
        <v>4.07</v>
      </c>
      <c r="O56">
        <v>0.89</v>
      </c>
      <c r="P56">
        <v>21.76</v>
      </c>
      <c r="Q56">
        <v>4.0999999999999996</v>
      </c>
      <c r="R56">
        <v>309.67</v>
      </c>
    </row>
    <row r="57" spans="1:18" x14ac:dyDescent="0.3">
      <c r="A57" t="s">
        <v>142</v>
      </c>
      <c r="B57" t="s">
        <v>143</v>
      </c>
      <c r="C57" t="s">
        <v>25</v>
      </c>
      <c r="D57" t="s">
        <v>30</v>
      </c>
      <c r="E57" t="s">
        <v>31</v>
      </c>
      <c r="F57" s="1">
        <v>45472</v>
      </c>
      <c r="G57" s="1">
        <v>45498</v>
      </c>
      <c r="H57">
        <v>414654</v>
      </c>
      <c r="I57">
        <v>3441</v>
      </c>
      <c r="J57">
        <v>384</v>
      </c>
      <c r="K57">
        <v>13211.05</v>
      </c>
      <c r="L57">
        <v>54778.41</v>
      </c>
      <c r="M57">
        <v>0.83</v>
      </c>
      <c r="N57">
        <v>11.16</v>
      </c>
      <c r="O57">
        <v>3.84</v>
      </c>
      <c r="P57">
        <v>34.4</v>
      </c>
      <c r="Q57">
        <v>4.1500000000000004</v>
      </c>
      <c r="R57">
        <v>314.64</v>
      </c>
    </row>
    <row r="58" spans="1:18" x14ac:dyDescent="0.3">
      <c r="A58" t="s">
        <v>144</v>
      </c>
      <c r="B58" t="s">
        <v>145</v>
      </c>
      <c r="C58" t="s">
        <v>25</v>
      </c>
      <c r="D58" t="s">
        <v>30</v>
      </c>
      <c r="E58" t="s">
        <v>31</v>
      </c>
      <c r="F58" s="1">
        <v>45431</v>
      </c>
      <c r="G58" s="1">
        <v>45465</v>
      </c>
      <c r="H58">
        <v>441913</v>
      </c>
      <c r="I58">
        <v>9059</v>
      </c>
      <c r="J58">
        <v>960</v>
      </c>
      <c r="K58">
        <v>18364.98</v>
      </c>
      <c r="L58">
        <v>77078.42</v>
      </c>
      <c r="M58">
        <v>2.0499999999999998</v>
      </c>
      <c r="N58">
        <v>10.6</v>
      </c>
      <c r="O58">
        <v>2.0299999999999998</v>
      </c>
      <c r="P58">
        <v>19.13</v>
      </c>
      <c r="Q58">
        <v>4.2</v>
      </c>
      <c r="R58">
        <v>319.7</v>
      </c>
    </row>
    <row r="59" spans="1:18" x14ac:dyDescent="0.3">
      <c r="A59" t="s">
        <v>146</v>
      </c>
      <c r="B59" t="s">
        <v>147</v>
      </c>
      <c r="C59" t="s">
        <v>25</v>
      </c>
      <c r="D59" t="s">
        <v>21</v>
      </c>
      <c r="E59" t="s">
        <v>38</v>
      </c>
      <c r="F59" s="1">
        <v>45357</v>
      </c>
      <c r="G59" s="1">
        <v>45398</v>
      </c>
      <c r="H59">
        <v>226228</v>
      </c>
      <c r="I59">
        <v>4388</v>
      </c>
      <c r="J59">
        <v>464</v>
      </c>
      <c r="K59">
        <v>15586.9</v>
      </c>
      <c r="L59">
        <v>90127.75</v>
      </c>
      <c r="M59">
        <v>1.94</v>
      </c>
      <c r="N59">
        <v>10.59</v>
      </c>
      <c r="O59">
        <v>3.55</v>
      </c>
      <c r="P59">
        <v>33.590000000000003</v>
      </c>
      <c r="Q59">
        <v>5.78</v>
      </c>
      <c r="R59">
        <v>478.23</v>
      </c>
    </row>
    <row r="60" spans="1:18" x14ac:dyDescent="0.3">
      <c r="A60" t="s">
        <v>148</v>
      </c>
      <c r="B60" t="s">
        <v>149</v>
      </c>
      <c r="C60" t="s">
        <v>20</v>
      </c>
      <c r="D60" t="s">
        <v>30</v>
      </c>
      <c r="E60" t="s">
        <v>31</v>
      </c>
      <c r="F60" s="1">
        <v>45385</v>
      </c>
      <c r="G60" s="1">
        <v>45395</v>
      </c>
      <c r="H60">
        <v>345903</v>
      </c>
      <c r="I60">
        <v>17814</v>
      </c>
      <c r="J60">
        <v>801</v>
      </c>
      <c r="K60">
        <v>13572.26</v>
      </c>
      <c r="L60">
        <v>80087.61</v>
      </c>
      <c r="M60">
        <v>5.15</v>
      </c>
      <c r="N60">
        <v>4.5</v>
      </c>
      <c r="O60">
        <v>0.76</v>
      </c>
      <c r="P60">
        <v>16.940000000000001</v>
      </c>
      <c r="Q60">
        <v>5.9</v>
      </c>
      <c r="R60">
        <v>490.08</v>
      </c>
    </row>
    <row r="61" spans="1:18" x14ac:dyDescent="0.3">
      <c r="A61" t="s">
        <v>150</v>
      </c>
      <c r="B61" t="s">
        <v>151</v>
      </c>
      <c r="C61" t="s">
        <v>44</v>
      </c>
      <c r="D61" t="s">
        <v>30</v>
      </c>
      <c r="E61" t="s">
        <v>22</v>
      </c>
      <c r="F61" s="1">
        <v>45507</v>
      </c>
      <c r="G61" s="1">
        <v>45530</v>
      </c>
      <c r="H61">
        <v>160970</v>
      </c>
      <c r="I61">
        <v>3831</v>
      </c>
      <c r="J61">
        <v>102</v>
      </c>
      <c r="K61">
        <v>13495.5</v>
      </c>
      <c r="L61">
        <v>43889.45</v>
      </c>
      <c r="M61">
        <v>2.38</v>
      </c>
      <c r="N61">
        <v>2.68</v>
      </c>
      <c r="O61">
        <v>3.52</v>
      </c>
      <c r="P61">
        <v>132.31</v>
      </c>
      <c r="Q61">
        <v>3.25</v>
      </c>
      <c r="R61">
        <v>225.22</v>
      </c>
    </row>
    <row r="62" spans="1:18" x14ac:dyDescent="0.3">
      <c r="A62" t="s">
        <v>152</v>
      </c>
      <c r="B62" t="s">
        <v>153</v>
      </c>
      <c r="C62" t="s">
        <v>20</v>
      </c>
      <c r="D62" t="s">
        <v>30</v>
      </c>
      <c r="E62" t="s">
        <v>26</v>
      </c>
      <c r="F62" s="1">
        <v>45312</v>
      </c>
      <c r="G62" s="1">
        <v>45320</v>
      </c>
      <c r="H62">
        <v>442704</v>
      </c>
      <c r="I62">
        <v>20630</v>
      </c>
      <c r="J62">
        <v>2063</v>
      </c>
      <c r="K62">
        <v>11999.21</v>
      </c>
      <c r="L62">
        <v>59103.89</v>
      </c>
      <c r="M62">
        <v>4.66</v>
      </c>
      <c r="N62">
        <v>10</v>
      </c>
      <c r="O62">
        <v>0.57999999999999996</v>
      </c>
      <c r="P62">
        <v>5.82</v>
      </c>
      <c r="Q62">
        <v>4.93</v>
      </c>
      <c r="R62">
        <v>392.56</v>
      </c>
    </row>
    <row r="63" spans="1:18" x14ac:dyDescent="0.3">
      <c r="A63" t="s">
        <v>154</v>
      </c>
      <c r="B63" t="s">
        <v>155</v>
      </c>
      <c r="C63" t="s">
        <v>29</v>
      </c>
      <c r="D63" t="s">
        <v>34</v>
      </c>
      <c r="E63" t="s">
        <v>26</v>
      </c>
      <c r="F63" s="1">
        <v>45403</v>
      </c>
      <c r="G63" s="1">
        <v>45439</v>
      </c>
      <c r="H63">
        <v>375758</v>
      </c>
      <c r="I63">
        <v>7364</v>
      </c>
      <c r="J63">
        <v>193</v>
      </c>
      <c r="K63">
        <v>13041.88</v>
      </c>
      <c r="L63">
        <v>59182.27</v>
      </c>
      <c r="M63">
        <v>1.96</v>
      </c>
      <c r="N63">
        <v>2.63</v>
      </c>
      <c r="O63">
        <v>1.77</v>
      </c>
      <c r="P63">
        <v>67.569999999999993</v>
      </c>
      <c r="Q63">
        <v>4.54</v>
      </c>
      <c r="R63">
        <v>353.79</v>
      </c>
    </row>
    <row r="64" spans="1:18" x14ac:dyDescent="0.3">
      <c r="A64" t="s">
        <v>156</v>
      </c>
      <c r="B64" t="s">
        <v>157</v>
      </c>
      <c r="C64" t="s">
        <v>44</v>
      </c>
      <c r="D64" t="s">
        <v>57</v>
      </c>
      <c r="E64" t="s">
        <v>41</v>
      </c>
      <c r="F64" s="1">
        <v>45451</v>
      </c>
      <c r="G64" s="1">
        <v>45464</v>
      </c>
      <c r="H64">
        <v>367662</v>
      </c>
      <c r="I64">
        <v>10221</v>
      </c>
      <c r="J64">
        <v>421</v>
      </c>
      <c r="K64">
        <v>3931.66</v>
      </c>
      <c r="L64">
        <v>22358.78</v>
      </c>
      <c r="M64">
        <v>2.78</v>
      </c>
      <c r="N64">
        <v>4.12</v>
      </c>
      <c r="O64">
        <v>0.38</v>
      </c>
      <c r="P64">
        <v>9.34</v>
      </c>
      <c r="Q64">
        <v>5.69</v>
      </c>
      <c r="R64">
        <v>468.69</v>
      </c>
    </row>
    <row r="65" spans="1:18" x14ac:dyDescent="0.3">
      <c r="A65" t="s">
        <v>158</v>
      </c>
      <c r="B65" t="s">
        <v>159</v>
      </c>
      <c r="C65" t="s">
        <v>37</v>
      </c>
      <c r="D65" t="s">
        <v>21</v>
      </c>
      <c r="E65" t="s">
        <v>22</v>
      </c>
      <c r="F65" s="1">
        <v>45330</v>
      </c>
      <c r="G65" s="1">
        <v>45374</v>
      </c>
      <c r="H65">
        <v>351883</v>
      </c>
      <c r="I65">
        <v>28361</v>
      </c>
      <c r="J65">
        <v>4985</v>
      </c>
      <c r="K65">
        <v>2284.94</v>
      </c>
      <c r="L65">
        <v>11921.83</v>
      </c>
      <c r="M65">
        <v>8.06</v>
      </c>
      <c r="N65">
        <v>17.579999999999998</v>
      </c>
      <c r="O65">
        <v>0.08</v>
      </c>
      <c r="P65">
        <v>0.46</v>
      </c>
      <c r="Q65">
        <v>5.22</v>
      </c>
      <c r="R65">
        <v>421.76</v>
      </c>
    </row>
    <row r="66" spans="1:18" x14ac:dyDescent="0.3">
      <c r="A66" t="s">
        <v>160</v>
      </c>
      <c r="B66" t="s">
        <v>161</v>
      </c>
      <c r="C66" t="s">
        <v>29</v>
      </c>
      <c r="D66" t="s">
        <v>21</v>
      </c>
      <c r="E66" t="s">
        <v>22</v>
      </c>
      <c r="F66" s="1">
        <v>45313</v>
      </c>
      <c r="G66" s="1">
        <v>45342</v>
      </c>
      <c r="H66">
        <v>495798</v>
      </c>
      <c r="I66">
        <v>17600</v>
      </c>
      <c r="J66">
        <v>1061</v>
      </c>
      <c r="K66">
        <v>14943.41</v>
      </c>
      <c r="L66">
        <v>67943.149999999994</v>
      </c>
      <c r="M66">
        <v>3.55</v>
      </c>
      <c r="N66">
        <v>6.03</v>
      </c>
      <c r="O66">
        <v>0.85</v>
      </c>
      <c r="P66">
        <v>14.08</v>
      </c>
      <c r="Q66">
        <v>4.55</v>
      </c>
      <c r="R66">
        <v>354.67</v>
      </c>
    </row>
    <row r="67" spans="1:18" x14ac:dyDescent="0.3">
      <c r="A67" t="s">
        <v>162</v>
      </c>
      <c r="B67" t="s">
        <v>163</v>
      </c>
      <c r="C67" t="s">
        <v>37</v>
      </c>
      <c r="D67" t="s">
        <v>30</v>
      </c>
      <c r="E67" t="s">
        <v>22</v>
      </c>
      <c r="F67" s="1">
        <v>45346</v>
      </c>
      <c r="G67" s="1">
        <v>45380</v>
      </c>
      <c r="H67">
        <v>86153</v>
      </c>
      <c r="I67">
        <v>6065</v>
      </c>
      <c r="J67">
        <v>692</v>
      </c>
      <c r="K67">
        <v>4323.09</v>
      </c>
      <c r="L67">
        <v>24643.73</v>
      </c>
      <c r="M67">
        <v>7.04</v>
      </c>
      <c r="N67">
        <v>11.41</v>
      </c>
      <c r="O67">
        <v>0.71</v>
      </c>
      <c r="P67">
        <v>6.25</v>
      </c>
      <c r="Q67">
        <v>5.7</v>
      </c>
      <c r="R67">
        <v>470.05</v>
      </c>
    </row>
    <row r="68" spans="1:18" x14ac:dyDescent="0.3">
      <c r="A68" t="s">
        <v>164</v>
      </c>
      <c r="B68" t="s">
        <v>165</v>
      </c>
      <c r="C68" t="s">
        <v>44</v>
      </c>
      <c r="D68" t="s">
        <v>30</v>
      </c>
      <c r="E68" t="s">
        <v>41</v>
      </c>
      <c r="F68" s="1">
        <v>45567</v>
      </c>
      <c r="G68" s="1">
        <v>45604</v>
      </c>
      <c r="H68">
        <v>278320</v>
      </c>
      <c r="I68">
        <v>4620</v>
      </c>
      <c r="J68">
        <v>153</v>
      </c>
      <c r="K68">
        <v>10630.72</v>
      </c>
      <c r="L68">
        <v>50725.599999999999</v>
      </c>
      <c r="M68">
        <v>1.66</v>
      </c>
      <c r="N68">
        <v>3.33</v>
      </c>
      <c r="O68">
        <v>2.2999999999999998</v>
      </c>
      <c r="P68">
        <v>69.48</v>
      </c>
      <c r="Q68">
        <v>4.7699999999999996</v>
      </c>
      <c r="R68">
        <v>377.16</v>
      </c>
    </row>
    <row r="69" spans="1:18" x14ac:dyDescent="0.3">
      <c r="A69" t="s">
        <v>166</v>
      </c>
      <c r="B69" t="s">
        <v>167</v>
      </c>
      <c r="C69" t="s">
        <v>25</v>
      </c>
      <c r="D69" t="s">
        <v>30</v>
      </c>
      <c r="E69" t="s">
        <v>31</v>
      </c>
      <c r="F69" s="1">
        <v>45522</v>
      </c>
      <c r="G69" s="1">
        <v>45544</v>
      </c>
      <c r="H69">
        <v>190716</v>
      </c>
      <c r="I69">
        <v>2574</v>
      </c>
      <c r="J69">
        <v>172</v>
      </c>
      <c r="K69">
        <v>18953.95</v>
      </c>
      <c r="L69">
        <v>61698.46</v>
      </c>
      <c r="M69">
        <v>1.35</v>
      </c>
      <c r="N69">
        <v>6.72</v>
      </c>
      <c r="O69">
        <v>7.36</v>
      </c>
      <c r="P69">
        <v>110.2</v>
      </c>
      <c r="Q69">
        <v>3.26</v>
      </c>
      <c r="R69">
        <v>225.52</v>
      </c>
    </row>
    <row r="70" spans="1:18" x14ac:dyDescent="0.3">
      <c r="A70" t="s">
        <v>168</v>
      </c>
      <c r="B70" t="s">
        <v>169</v>
      </c>
      <c r="C70" t="s">
        <v>25</v>
      </c>
      <c r="D70" t="s">
        <v>30</v>
      </c>
      <c r="E70" t="s">
        <v>22</v>
      </c>
      <c r="F70" s="1">
        <v>45424</v>
      </c>
      <c r="G70" s="1">
        <v>45452</v>
      </c>
      <c r="H70">
        <v>65047</v>
      </c>
      <c r="I70">
        <v>1066</v>
      </c>
      <c r="J70">
        <v>77</v>
      </c>
      <c r="K70">
        <v>11800.8</v>
      </c>
      <c r="L70">
        <v>42444.08</v>
      </c>
      <c r="M70">
        <v>1.64</v>
      </c>
      <c r="N70">
        <v>7.28</v>
      </c>
      <c r="O70">
        <v>11.07</v>
      </c>
      <c r="P70">
        <v>153.26</v>
      </c>
      <c r="Q70">
        <v>3.6</v>
      </c>
      <c r="R70">
        <v>259.67</v>
      </c>
    </row>
    <row r="71" spans="1:18" x14ac:dyDescent="0.3">
      <c r="A71" t="s">
        <v>170</v>
      </c>
      <c r="B71" t="s">
        <v>171</v>
      </c>
      <c r="C71" t="s">
        <v>44</v>
      </c>
      <c r="D71" t="s">
        <v>57</v>
      </c>
      <c r="E71" t="s">
        <v>31</v>
      </c>
      <c r="F71" s="1">
        <v>45576</v>
      </c>
      <c r="G71" s="1">
        <v>45598</v>
      </c>
      <c r="H71">
        <v>55322</v>
      </c>
      <c r="I71">
        <v>1405</v>
      </c>
      <c r="J71">
        <v>30</v>
      </c>
      <c r="K71">
        <v>5516.95</v>
      </c>
      <c r="L71">
        <v>21124</v>
      </c>
      <c r="M71">
        <v>2.54</v>
      </c>
      <c r="N71">
        <v>2.17</v>
      </c>
      <c r="O71">
        <v>3.93</v>
      </c>
      <c r="P71">
        <v>183.9</v>
      </c>
      <c r="Q71">
        <v>3.83</v>
      </c>
      <c r="R71">
        <v>282.89</v>
      </c>
    </row>
    <row r="72" spans="1:18" x14ac:dyDescent="0.3">
      <c r="A72" t="s">
        <v>172</v>
      </c>
      <c r="B72" t="s">
        <v>173</v>
      </c>
      <c r="C72" t="s">
        <v>25</v>
      </c>
      <c r="D72" t="s">
        <v>30</v>
      </c>
      <c r="E72" t="s">
        <v>38</v>
      </c>
      <c r="F72" s="1">
        <v>45589</v>
      </c>
      <c r="G72" s="1">
        <v>45619</v>
      </c>
      <c r="H72">
        <v>465725</v>
      </c>
      <c r="I72">
        <v>3865</v>
      </c>
      <c r="J72">
        <v>272</v>
      </c>
      <c r="K72">
        <v>10470.42</v>
      </c>
      <c r="L72">
        <v>32404.62</v>
      </c>
      <c r="M72">
        <v>0.83</v>
      </c>
      <c r="N72">
        <v>7.06</v>
      </c>
      <c r="O72">
        <v>2.71</v>
      </c>
      <c r="P72">
        <v>38.49</v>
      </c>
      <c r="Q72">
        <v>3.09</v>
      </c>
      <c r="R72">
        <v>209.49</v>
      </c>
    </row>
    <row r="73" spans="1:18" x14ac:dyDescent="0.3">
      <c r="A73" t="s">
        <v>174</v>
      </c>
      <c r="B73" t="s">
        <v>175</v>
      </c>
      <c r="C73" t="s">
        <v>25</v>
      </c>
      <c r="D73" t="s">
        <v>57</v>
      </c>
      <c r="E73" t="s">
        <v>38</v>
      </c>
      <c r="F73" s="1">
        <v>45410</v>
      </c>
      <c r="G73" s="1">
        <v>45424</v>
      </c>
      <c r="H73">
        <v>441084</v>
      </c>
      <c r="I73">
        <v>7674</v>
      </c>
      <c r="J73">
        <v>572</v>
      </c>
      <c r="K73">
        <v>11259.92</v>
      </c>
      <c r="L73">
        <v>38056.32</v>
      </c>
      <c r="M73">
        <v>1.74</v>
      </c>
      <c r="N73">
        <v>7.46</v>
      </c>
      <c r="O73">
        <v>1.47</v>
      </c>
      <c r="P73">
        <v>19.690000000000001</v>
      </c>
      <c r="Q73">
        <v>3.38</v>
      </c>
      <c r="R73">
        <v>237.98</v>
      </c>
    </row>
    <row r="74" spans="1:18" x14ac:dyDescent="0.3">
      <c r="A74" t="s">
        <v>176</v>
      </c>
      <c r="B74" t="s">
        <v>177</v>
      </c>
      <c r="C74" t="s">
        <v>29</v>
      </c>
      <c r="D74" t="s">
        <v>57</v>
      </c>
      <c r="E74" t="s">
        <v>26</v>
      </c>
      <c r="F74" s="1">
        <v>45539</v>
      </c>
      <c r="G74" s="1">
        <v>45563</v>
      </c>
      <c r="H74">
        <v>439483</v>
      </c>
      <c r="I74">
        <v>13667</v>
      </c>
      <c r="J74">
        <v>794</v>
      </c>
      <c r="K74">
        <v>5777.25</v>
      </c>
      <c r="L74">
        <v>17179.990000000002</v>
      </c>
      <c r="M74">
        <v>3.11</v>
      </c>
      <c r="N74">
        <v>5.81</v>
      </c>
      <c r="O74">
        <v>0.42</v>
      </c>
      <c r="P74">
        <v>7.28</v>
      </c>
      <c r="Q74">
        <v>2.97</v>
      </c>
      <c r="R74">
        <v>197.37</v>
      </c>
    </row>
    <row r="75" spans="1:18" x14ac:dyDescent="0.3">
      <c r="A75" t="s">
        <v>178</v>
      </c>
      <c r="B75" t="s">
        <v>179</v>
      </c>
      <c r="C75" t="s">
        <v>37</v>
      </c>
      <c r="D75" t="s">
        <v>57</v>
      </c>
      <c r="E75" t="s">
        <v>26</v>
      </c>
      <c r="F75" s="1">
        <v>45565</v>
      </c>
      <c r="G75" s="1">
        <v>45580</v>
      </c>
      <c r="H75">
        <v>486537</v>
      </c>
      <c r="I75">
        <v>25105</v>
      </c>
      <c r="J75">
        <v>2578</v>
      </c>
      <c r="K75">
        <v>1307.49</v>
      </c>
      <c r="L75">
        <v>2698.22</v>
      </c>
      <c r="M75">
        <v>5.16</v>
      </c>
      <c r="N75">
        <v>10.27</v>
      </c>
      <c r="O75">
        <v>0.05</v>
      </c>
      <c r="P75">
        <v>0.51</v>
      </c>
      <c r="Q75">
        <v>2.06</v>
      </c>
      <c r="R75">
        <v>106.37</v>
      </c>
    </row>
    <row r="76" spans="1:18" x14ac:dyDescent="0.3">
      <c r="A76" t="s">
        <v>180</v>
      </c>
      <c r="B76" t="s">
        <v>181</v>
      </c>
      <c r="C76" t="s">
        <v>44</v>
      </c>
      <c r="D76" t="s">
        <v>21</v>
      </c>
      <c r="E76" t="s">
        <v>26</v>
      </c>
      <c r="F76" s="1">
        <v>45344</v>
      </c>
      <c r="G76" s="1">
        <v>45351</v>
      </c>
      <c r="H76">
        <v>340119</v>
      </c>
      <c r="I76">
        <v>6666</v>
      </c>
      <c r="J76">
        <v>319</v>
      </c>
      <c r="K76">
        <v>10473.370000000001</v>
      </c>
      <c r="L76">
        <v>56425.96</v>
      </c>
      <c r="M76">
        <v>1.96</v>
      </c>
      <c r="N76">
        <v>4.8</v>
      </c>
      <c r="O76">
        <v>1.57</v>
      </c>
      <c r="P76">
        <v>32.83</v>
      </c>
      <c r="Q76">
        <v>5.39</v>
      </c>
      <c r="R76">
        <v>438.76</v>
      </c>
    </row>
    <row r="77" spans="1:18" x14ac:dyDescent="0.3">
      <c r="A77" t="s">
        <v>182</v>
      </c>
      <c r="B77" t="s">
        <v>183</v>
      </c>
      <c r="C77" t="s">
        <v>37</v>
      </c>
      <c r="D77" t="s">
        <v>57</v>
      </c>
      <c r="E77" t="s">
        <v>38</v>
      </c>
      <c r="F77" s="1">
        <v>45536</v>
      </c>
      <c r="G77" s="1">
        <v>45550</v>
      </c>
      <c r="H77">
        <v>300984</v>
      </c>
      <c r="I77">
        <v>19985</v>
      </c>
      <c r="J77">
        <v>1966</v>
      </c>
      <c r="K77">
        <v>731.2</v>
      </c>
      <c r="L77">
        <v>4558.88</v>
      </c>
      <c r="M77">
        <v>6.64</v>
      </c>
      <c r="N77">
        <v>9.84</v>
      </c>
      <c r="O77">
        <v>0.04</v>
      </c>
      <c r="P77">
        <v>0.37</v>
      </c>
      <c r="Q77">
        <v>6.23</v>
      </c>
      <c r="R77">
        <v>523.48</v>
      </c>
    </row>
    <row r="78" spans="1:18" x14ac:dyDescent="0.3">
      <c r="A78" t="s">
        <v>184</v>
      </c>
      <c r="B78" t="s">
        <v>185</v>
      </c>
      <c r="C78" t="s">
        <v>20</v>
      </c>
      <c r="D78" t="s">
        <v>30</v>
      </c>
      <c r="E78" t="s">
        <v>38</v>
      </c>
      <c r="F78" s="1">
        <v>45447</v>
      </c>
      <c r="G78" s="1">
        <v>45459</v>
      </c>
      <c r="H78">
        <v>88840</v>
      </c>
      <c r="I78">
        <v>4273</v>
      </c>
      <c r="J78">
        <v>346</v>
      </c>
      <c r="K78">
        <v>8034.54</v>
      </c>
      <c r="L78">
        <v>45396.27</v>
      </c>
      <c r="M78">
        <v>4.8099999999999996</v>
      </c>
      <c r="N78">
        <v>8.1199999999999992</v>
      </c>
      <c r="O78">
        <v>1.88</v>
      </c>
      <c r="P78">
        <v>23.22</v>
      </c>
      <c r="Q78">
        <v>5.65</v>
      </c>
      <c r="R78">
        <v>465.01</v>
      </c>
    </row>
    <row r="79" spans="1:18" x14ac:dyDescent="0.3">
      <c r="A79" t="s">
        <v>186</v>
      </c>
      <c r="B79" t="s">
        <v>187</v>
      </c>
      <c r="C79" t="s">
        <v>29</v>
      </c>
      <c r="D79" t="s">
        <v>21</v>
      </c>
      <c r="E79" t="s">
        <v>31</v>
      </c>
      <c r="F79" s="1">
        <v>45486</v>
      </c>
      <c r="G79" s="1">
        <v>45521</v>
      </c>
      <c r="H79">
        <v>450788</v>
      </c>
      <c r="I79">
        <v>12396</v>
      </c>
      <c r="J79">
        <v>617</v>
      </c>
      <c r="K79">
        <v>12276.28</v>
      </c>
      <c r="L79">
        <v>67404.399999999994</v>
      </c>
      <c r="M79">
        <v>2.75</v>
      </c>
      <c r="N79">
        <v>4.9800000000000004</v>
      </c>
      <c r="O79">
        <v>0.99</v>
      </c>
      <c r="P79">
        <v>19.899999999999999</v>
      </c>
      <c r="Q79">
        <v>5.49</v>
      </c>
      <c r="R79">
        <v>449.06</v>
      </c>
    </row>
    <row r="80" spans="1:18" x14ac:dyDescent="0.3">
      <c r="A80" t="s">
        <v>188</v>
      </c>
      <c r="B80" t="s">
        <v>189</v>
      </c>
      <c r="C80" t="s">
        <v>25</v>
      </c>
      <c r="D80" t="s">
        <v>57</v>
      </c>
      <c r="E80" t="s">
        <v>31</v>
      </c>
      <c r="F80" s="1">
        <v>45398</v>
      </c>
      <c r="G80" s="1">
        <v>45418</v>
      </c>
      <c r="H80">
        <v>274830</v>
      </c>
      <c r="I80">
        <v>3627</v>
      </c>
      <c r="J80">
        <v>339</v>
      </c>
      <c r="K80">
        <v>13754.09</v>
      </c>
      <c r="L80">
        <v>73314.83</v>
      </c>
      <c r="M80">
        <v>1.32</v>
      </c>
      <c r="N80">
        <v>9.35</v>
      </c>
      <c r="O80">
        <v>3.79</v>
      </c>
      <c r="P80">
        <v>40.57</v>
      </c>
      <c r="Q80">
        <v>5.33</v>
      </c>
      <c r="R80">
        <v>433.04</v>
      </c>
    </row>
    <row r="81" spans="1:18" x14ac:dyDescent="0.3">
      <c r="A81" t="s">
        <v>190</v>
      </c>
      <c r="B81" t="s">
        <v>191</v>
      </c>
      <c r="C81" t="s">
        <v>44</v>
      </c>
      <c r="D81" t="s">
        <v>21</v>
      </c>
      <c r="E81" t="s">
        <v>41</v>
      </c>
      <c r="F81" s="1">
        <v>45596</v>
      </c>
      <c r="G81" s="1">
        <v>45633</v>
      </c>
      <c r="H81">
        <v>175758</v>
      </c>
      <c r="I81">
        <v>2900</v>
      </c>
      <c r="J81">
        <v>51</v>
      </c>
      <c r="K81">
        <v>2533.4499999999998</v>
      </c>
      <c r="L81">
        <v>10202.879999999999</v>
      </c>
      <c r="M81">
        <v>1.65</v>
      </c>
      <c r="N81">
        <v>1.76</v>
      </c>
      <c r="O81">
        <v>0.87</v>
      </c>
      <c r="P81">
        <v>49.68</v>
      </c>
      <c r="Q81">
        <v>4.03</v>
      </c>
      <c r="R81">
        <v>302.73</v>
      </c>
    </row>
    <row r="82" spans="1:18" x14ac:dyDescent="0.3">
      <c r="A82" t="s">
        <v>192</v>
      </c>
      <c r="B82" t="s">
        <v>193</v>
      </c>
      <c r="C82" t="s">
        <v>44</v>
      </c>
      <c r="D82" t="s">
        <v>21</v>
      </c>
      <c r="E82" t="s">
        <v>41</v>
      </c>
      <c r="F82" s="1">
        <v>45427</v>
      </c>
      <c r="G82" s="1">
        <v>45471</v>
      </c>
      <c r="H82">
        <v>201049</v>
      </c>
      <c r="I82">
        <v>6111</v>
      </c>
      <c r="J82">
        <v>241</v>
      </c>
      <c r="K82">
        <v>8175.39</v>
      </c>
      <c r="L82">
        <v>41639.160000000003</v>
      </c>
      <c r="M82">
        <v>3.04</v>
      </c>
      <c r="N82">
        <v>3.96</v>
      </c>
      <c r="O82">
        <v>1.34</v>
      </c>
      <c r="P82">
        <v>33.92</v>
      </c>
      <c r="Q82">
        <v>5.09</v>
      </c>
      <c r="R82">
        <v>409.32</v>
      </c>
    </row>
    <row r="83" spans="1:18" x14ac:dyDescent="0.3">
      <c r="A83" t="s">
        <v>194</v>
      </c>
      <c r="B83" t="s">
        <v>195</v>
      </c>
      <c r="C83" t="s">
        <v>29</v>
      </c>
      <c r="D83" t="s">
        <v>30</v>
      </c>
      <c r="E83" t="s">
        <v>26</v>
      </c>
      <c r="F83" s="1">
        <v>45322</v>
      </c>
      <c r="G83" s="1">
        <v>45339</v>
      </c>
      <c r="H83">
        <v>335507</v>
      </c>
      <c r="I83">
        <v>7280</v>
      </c>
      <c r="J83">
        <v>199</v>
      </c>
      <c r="K83">
        <v>6984.49</v>
      </c>
      <c r="L83">
        <v>18439.5</v>
      </c>
      <c r="M83">
        <v>2.17</v>
      </c>
      <c r="N83">
        <v>2.74</v>
      </c>
      <c r="O83">
        <v>0.96</v>
      </c>
      <c r="P83">
        <v>35.1</v>
      </c>
      <c r="Q83">
        <v>2.64</v>
      </c>
      <c r="R83">
        <v>164.01</v>
      </c>
    </row>
    <row r="84" spans="1:18" x14ac:dyDescent="0.3">
      <c r="A84" t="s">
        <v>196</v>
      </c>
      <c r="B84" t="s">
        <v>197</v>
      </c>
      <c r="C84" t="s">
        <v>44</v>
      </c>
      <c r="D84" t="s">
        <v>57</v>
      </c>
      <c r="E84" t="s">
        <v>38</v>
      </c>
      <c r="F84" s="1">
        <v>45568</v>
      </c>
      <c r="G84" s="1">
        <v>45606</v>
      </c>
      <c r="H84">
        <v>115197</v>
      </c>
      <c r="I84">
        <v>2787</v>
      </c>
      <c r="J84">
        <v>71</v>
      </c>
      <c r="K84">
        <v>7531.36</v>
      </c>
      <c r="L84">
        <v>24289.45</v>
      </c>
      <c r="M84">
        <v>2.42</v>
      </c>
      <c r="N84">
        <v>2.56</v>
      </c>
      <c r="O84">
        <v>2.7</v>
      </c>
      <c r="P84">
        <v>106.08</v>
      </c>
      <c r="Q84">
        <v>3.23</v>
      </c>
      <c r="R84">
        <v>222.51</v>
      </c>
    </row>
    <row r="85" spans="1:18" x14ac:dyDescent="0.3">
      <c r="A85" t="s">
        <v>198</v>
      </c>
      <c r="B85" t="s">
        <v>199</v>
      </c>
      <c r="C85" t="s">
        <v>25</v>
      </c>
      <c r="D85" t="s">
        <v>21</v>
      </c>
      <c r="E85" t="s">
        <v>31</v>
      </c>
      <c r="F85" s="1">
        <v>45409</v>
      </c>
      <c r="G85" s="1">
        <v>45452</v>
      </c>
      <c r="H85">
        <v>70898</v>
      </c>
      <c r="I85">
        <v>1637</v>
      </c>
      <c r="J85">
        <v>165</v>
      </c>
      <c r="K85">
        <v>13659.42</v>
      </c>
      <c r="L85">
        <v>28908.69</v>
      </c>
      <c r="M85">
        <v>2.31</v>
      </c>
      <c r="N85">
        <v>10.14</v>
      </c>
      <c r="O85">
        <v>8.34</v>
      </c>
      <c r="P85">
        <v>82.78</v>
      </c>
      <c r="Q85">
        <v>2.12</v>
      </c>
      <c r="R85">
        <v>111.64</v>
      </c>
    </row>
    <row r="86" spans="1:18" x14ac:dyDescent="0.3">
      <c r="A86" t="s">
        <v>200</v>
      </c>
      <c r="B86" t="s">
        <v>201</v>
      </c>
      <c r="C86" t="s">
        <v>37</v>
      </c>
      <c r="D86" t="s">
        <v>21</v>
      </c>
      <c r="E86" t="s">
        <v>22</v>
      </c>
      <c r="F86" s="1">
        <v>45434</v>
      </c>
      <c r="G86" s="1">
        <v>45452</v>
      </c>
      <c r="H86">
        <v>352119</v>
      </c>
      <c r="I86">
        <v>14929</v>
      </c>
      <c r="J86">
        <v>2322</v>
      </c>
      <c r="K86">
        <v>2617.25</v>
      </c>
      <c r="L86">
        <v>12907.73</v>
      </c>
      <c r="M86">
        <v>4.24</v>
      </c>
      <c r="N86">
        <v>15.56</v>
      </c>
      <c r="O86">
        <v>0.18</v>
      </c>
      <c r="P86">
        <v>1.1299999999999999</v>
      </c>
      <c r="Q86">
        <v>4.93</v>
      </c>
      <c r="R86">
        <v>393.18</v>
      </c>
    </row>
    <row r="87" spans="1:18" x14ac:dyDescent="0.3">
      <c r="A87" t="s">
        <v>202</v>
      </c>
      <c r="B87" t="s">
        <v>203</v>
      </c>
      <c r="C87" t="s">
        <v>37</v>
      </c>
      <c r="D87" t="s">
        <v>30</v>
      </c>
      <c r="E87" t="s">
        <v>38</v>
      </c>
      <c r="F87" s="1">
        <v>45374</v>
      </c>
      <c r="G87" s="1">
        <v>45402</v>
      </c>
      <c r="H87">
        <v>97837</v>
      </c>
      <c r="I87">
        <v>6672</v>
      </c>
      <c r="J87">
        <v>805</v>
      </c>
      <c r="K87">
        <v>1944.76</v>
      </c>
      <c r="L87">
        <v>4804.92</v>
      </c>
      <c r="M87">
        <v>6.82</v>
      </c>
      <c r="N87">
        <v>12.08</v>
      </c>
      <c r="O87">
        <v>0.28999999999999998</v>
      </c>
      <c r="P87">
        <v>2.42</v>
      </c>
      <c r="Q87">
        <v>2.4700000000000002</v>
      </c>
      <c r="R87">
        <v>147.07</v>
      </c>
    </row>
    <row r="88" spans="1:18" x14ac:dyDescent="0.3">
      <c r="A88" t="s">
        <v>204</v>
      </c>
      <c r="B88" t="s">
        <v>205</v>
      </c>
      <c r="C88" t="s">
        <v>25</v>
      </c>
      <c r="D88" t="s">
        <v>30</v>
      </c>
      <c r="E88" t="s">
        <v>22</v>
      </c>
      <c r="F88" s="1">
        <v>45453</v>
      </c>
      <c r="G88" s="1">
        <v>45476</v>
      </c>
      <c r="H88">
        <v>397384</v>
      </c>
      <c r="I88">
        <v>9576</v>
      </c>
      <c r="J88">
        <v>1023</v>
      </c>
      <c r="K88">
        <v>12801.55</v>
      </c>
      <c r="L88">
        <v>51804.24</v>
      </c>
      <c r="M88">
        <v>2.41</v>
      </c>
      <c r="N88">
        <v>10.69</v>
      </c>
      <c r="O88">
        <v>1.34</v>
      </c>
      <c r="P88">
        <v>12.51</v>
      </c>
      <c r="Q88">
        <v>4.05</v>
      </c>
      <c r="R88">
        <v>304.67</v>
      </c>
    </row>
    <row r="89" spans="1:18" x14ac:dyDescent="0.3">
      <c r="A89" t="s">
        <v>206</v>
      </c>
      <c r="B89" t="s">
        <v>207</v>
      </c>
      <c r="C89" t="s">
        <v>44</v>
      </c>
      <c r="D89" t="s">
        <v>21</v>
      </c>
      <c r="E89" t="s">
        <v>38</v>
      </c>
      <c r="F89" s="1">
        <v>45319</v>
      </c>
      <c r="G89" s="1">
        <v>45338</v>
      </c>
      <c r="H89">
        <v>319796</v>
      </c>
      <c r="I89">
        <v>10681</v>
      </c>
      <c r="J89">
        <v>160</v>
      </c>
      <c r="K89">
        <v>13367.09</v>
      </c>
      <c r="L89">
        <v>54522.94</v>
      </c>
      <c r="M89">
        <v>3.34</v>
      </c>
      <c r="N89">
        <v>1.5</v>
      </c>
      <c r="O89">
        <v>1.25</v>
      </c>
      <c r="P89">
        <v>83.54</v>
      </c>
      <c r="Q89">
        <v>4.08</v>
      </c>
      <c r="R89">
        <v>307.89</v>
      </c>
    </row>
    <row r="90" spans="1:18" x14ac:dyDescent="0.3">
      <c r="A90" t="s">
        <v>208</v>
      </c>
      <c r="B90" t="s">
        <v>209</v>
      </c>
      <c r="C90" t="s">
        <v>37</v>
      </c>
      <c r="D90" t="s">
        <v>57</v>
      </c>
      <c r="E90" t="s">
        <v>31</v>
      </c>
      <c r="F90" s="1">
        <v>45359</v>
      </c>
      <c r="G90" s="1">
        <v>45384</v>
      </c>
      <c r="H90">
        <v>446594</v>
      </c>
      <c r="I90">
        <v>31216</v>
      </c>
      <c r="J90">
        <v>3877</v>
      </c>
      <c r="K90">
        <v>732.25</v>
      </c>
      <c r="L90">
        <v>2344.48</v>
      </c>
      <c r="M90">
        <v>6.99</v>
      </c>
      <c r="N90">
        <v>12.42</v>
      </c>
      <c r="O90">
        <v>0.02</v>
      </c>
      <c r="P90">
        <v>0.19</v>
      </c>
      <c r="Q90">
        <v>3.2</v>
      </c>
      <c r="R90">
        <v>220.17</v>
      </c>
    </row>
    <row r="91" spans="1:18" x14ac:dyDescent="0.3">
      <c r="A91" t="s">
        <v>210</v>
      </c>
      <c r="B91" t="s">
        <v>211</v>
      </c>
      <c r="C91" t="s">
        <v>25</v>
      </c>
      <c r="D91" t="s">
        <v>30</v>
      </c>
      <c r="E91" t="s">
        <v>26</v>
      </c>
      <c r="F91" s="1">
        <v>45574</v>
      </c>
      <c r="G91" s="1">
        <v>45581</v>
      </c>
      <c r="H91">
        <v>65135</v>
      </c>
      <c r="I91">
        <v>1595</v>
      </c>
      <c r="J91">
        <v>147</v>
      </c>
      <c r="K91">
        <v>7828.76</v>
      </c>
      <c r="L91">
        <v>21237.09</v>
      </c>
      <c r="M91">
        <v>2.4500000000000002</v>
      </c>
      <c r="N91">
        <v>9.26</v>
      </c>
      <c r="O91">
        <v>4.91</v>
      </c>
      <c r="P91">
        <v>53.26</v>
      </c>
      <c r="Q91">
        <v>2.71</v>
      </c>
      <c r="R91">
        <v>171.27</v>
      </c>
    </row>
    <row r="92" spans="1:18" x14ac:dyDescent="0.3">
      <c r="A92" t="s">
        <v>212</v>
      </c>
      <c r="B92" t="s">
        <v>213</v>
      </c>
      <c r="C92" t="s">
        <v>37</v>
      </c>
      <c r="D92" t="s">
        <v>30</v>
      </c>
      <c r="E92" t="s">
        <v>26</v>
      </c>
      <c r="F92" s="1">
        <v>45370</v>
      </c>
      <c r="G92" s="1">
        <v>45408</v>
      </c>
      <c r="H92">
        <v>167807</v>
      </c>
      <c r="I92">
        <v>16696</v>
      </c>
      <c r="J92">
        <v>2860</v>
      </c>
      <c r="K92">
        <v>2576.52</v>
      </c>
      <c r="L92">
        <v>6514.98</v>
      </c>
      <c r="M92">
        <v>9.9499999999999993</v>
      </c>
      <c r="N92">
        <v>17.13</v>
      </c>
      <c r="O92">
        <v>0.15</v>
      </c>
      <c r="P92">
        <v>0.9</v>
      </c>
      <c r="Q92">
        <v>2.5299999999999998</v>
      </c>
      <c r="R92">
        <v>152.86000000000001</v>
      </c>
    </row>
    <row r="93" spans="1:18" x14ac:dyDescent="0.3">
      <c r="A93" t="s">
        <v>214</v>
      </c>
      <c r="B93" t="s">
        <v>215</v>
      </c>
      <c r="C93" t="s">
        <v>44</v>
      </c>
      <c r="D93" t="s">
        <v>57</v>
      </c>
      <c r="E93" t="s">
        <v>38</v>
      </c>
      <c r="F93" s="1">
        <v>45389</v>
      </c>
      <c r="G93" s="1">
        <v>45434</v>
      </c>
      <c r="H93">
        <v>487635</v>
      </c>
      <c r="I93">
        <v>11947</v>
      </c>
      <c r="J93">
        <v>376</v>
      </c>
      <c r="K93">
        <v>8209.83</v>
      </c>
      <c r="L93">
        <v>21763.35</v>
      </c>
      <c r="M93">
        <v>2.4500000000000002</v>
      </c>
      <c r="N93">
        <v>3.15</v>
      </c>
      <c r="O93">
        <v>0.69</v>
      </c>
      <c r="P93">
        <v>21.83</v>
      </c>
      <c r="Q93">
        <v>2.65</v>
      </c>
      <c r="R93">
        <v>165.09</v>
      </c>
    </row>
    <row r="94" spans="1:18" x14ac:dyDescent="0.3">
      <c r="A94" t="s">
        <v>216</v>
      </c>
      <c r="B94" t="s">
        <v>217</v>
      </c>
      <c r="C94" t="s">
        <v>37</v>
      </c>
      <c r="D94" t="s">
        <v>34</v>
      </c>
      <c r="E94" t="s">
        <v>26</v>
      </c>
      <c r="F94" s="1">
        <v>45428</v>
      </c>
      <c r="G94" s="1">
        <v>45435</v>
      </c>
      <c r="H94">
        <v>194833</v>
      </c>
      <c r="I94">
        <v>16833</v>
      </c>
      <c r="J94">
        <v>2784</v>
      </c>
      <c r="K94">
        <v>2029.44</v>
      </c>
      <c r="L94">
        <v>11252.69</v>
      </c>
      <c r="M94">
        <v>8.64</v>
      </c>
      <c r="N94">
        <v>16.54</v>
      </c>
      <c r="O94">
        <v>0.12</v>
      </c>
      <c r="P94">
        <v>0.73</v>
      </c>
      <c r="Q94">
        <v>5.54</v>
      </c>
      <c r="R94">
        <v>454.47</v>
      </c>
    </row>
    <row r="95" spans="1:18" x14ac:dyDescent="0.3">
      <c r="A95" t="s">
        <v>218</v>
      </c>
      <c r="B95" t="s">
        <v>219</v>
      </c>
      <c r="C95" t="s">
        <v>44</v>
      </c>
      <c r="D95" t="s">
        <v>57</v>
      </c>
      <c r="E95" t="s">
        <v>31</v>
      </c>
      <c r="F95" s="1">
        <v>45468</v>
      </c>
      <c r="G95" s="1">
        <v>45496</v>
      </c>
      <c r="H95">
        <v>354046</v>
      </c>
      <c r="I95">
        <v>13453</v>
      </c>
      <c r="J95">
        <v>431</v>
      </c>
      <c r="K95">
        <v>4357.4399999999996</v>
      </c>
      <c r="L95">
        <v>19275.63</v>
      </c>
      <c r="M95">
        <v>3.8</v>
      </c>
      <c r="N95">
        <v>3.21</v>
      </c>
      <c r="O95">
        <v>0.32</v>
      </c>
      <c r="P95">
        <v>10.11</v>
      </c>
      <c r="Q95">
        <v>4.42</v>
      </c>
      <c r="R95">
        <v>342.36</v>
      </c>
    </row>
    <row r="96" spans="1:18" x14ac:dyDescent="0.3">
      <c r="A96" t="s">
        <v>220</v>
      </c>
      <c r="B96" t="s">
        <v>221</v>
      </c>
      <c r="C96" t="s">
        <v>37</v>
      </c>
      <c r="D96" t="s">
        <v>30</v>
      </c>
      <c r="E96" t="s">
        <v>38</v>
      </c>
      <c r="F96" s="1">
        <v>45502</v>
      </c>
      <c r="G96" s="1">
        <v>45511</v>
      </c>
      <c r="H96">
        <v>218704</v>
      </c>
      <c r="I96">
        <v>20164</v>
      </c>
      <c r="J96">
        <v>3591</v>
      </c>
      <c r="K96">
        <v>1574.62</v>
      </c>
      <c r="L96">
        <v>5862.89</v>
      </c>
      <c r="M96">
        <v>9.2200000000000006</v>
      </c>
      <c r="N96">
        <v>17.809999999999999</v>
      </c>
      <c r="O96">
        <v>0.08</v>
      </c>
      <c r="P96">
        <v>0.44</v>
      </c>
      <c r="Q96">
        <v>3.72</v>
      </c>
      <c r="R96">
        <v>272.33999999999997</v>
      </c>
    </row>
    <row r="97" spans="1:18" x14ac:dyDescent="0.3">
      <c r="A97" t="s">
        <v>222</v>
      </c>
      <c r="B97" t="s">
        <v>223</v>
      </c>
      <c r="C97" t="s">
        <v>44</v>
      </c>
      <c r="D97" t="s">
        <v>30</v>
      </c>
      <c r="E97" t="s">
        <v>38</v>
      </c>
      <c r="F97" s="1">
        <v>45310</v>
      </c>
      <c r="G97" s="1">
        <v>45325</v>
      </c>
      <c r="H97">
        <v>252416</v>
      </c>
      <c r="I97">
        <v>9516</v>
      </c>
      <c r="J97">
        <v>406</v>
      </c>
      <c r="K97">
        <v>10650.24</v>
      </c>
      <c r="L97">
        <v>28590.29</v>
      </c>
      <c r="M97">
        <v>3.77</v>
      </c>
      <c r="N97">
        <v>4.2699999999999996</v>
      </c>
      <c r="O97">
        <v>1.1200000000000001</v>
      </c>
      <c r="P97">
        <v>26.23</v>
      </c>
      <c r="Q97">
        <v>2.68</v>
      </c>
      <c r="R97">
        <v>168.45</v>
      </c>
    </row>
    <row r="98" spans="1:18" x14ac:dyDescent="0.3">
      <c r="A98" t="s">
        <v>224</v>
      </c>
      <c r="B98" t="s">
        <v>225</v>
      </c>
      <c r="C98" t="s">
        <v>37</v>
      </c>
      <c r="D98" t="s">
        <v>57</v>
      </c>
      <c r="E98" t="s">
        <v>26</v>
      </c>
      <c r="F98" s="1">
        <v>45501</v>
      </c>
      <c r="G98" s="1">
        <v>45517</v>
      </c>
      <c r="H98">
        <v>493044</v>
      </c>
      <c r="I98">
        <v>32738</v>
      </c>
      <c r="J98">
        <v>4341</v>
      </c>
      <c r="K98">
        <v>2556.1799999999998</v>
      </c>
      <c r="L98">
        <v>13422.49</v>
      </c>
      <c r="M98">
        <v>6.64</v>
      </c>
      <c r="N98">
        <v>13.26</v>
      </c>
      <c r="O98">
        <v>0.08</v>
      </c>
      <c r="P98">
        <v>0.59</v>
      </c>
      <c r="Q98">
        <v>5.25</v>
      </c>
      <c r="R98">
        <v>425.1</v>
      </c>
    </row>
    <row r="99" spans="1:18" x14ac:dyDescent="0.3">
      <c r="A99" t="s">
        <v>226</v>
      </c>
      <c r="B99" t="s">
        <v>227</v>
      </c>
      <c r="C99" t="s">
        <v>20</v>
      </c>
      <c r="D99" t="s">
        <v>30</v>
      </c>
      <c r="E99" t="s">
        <v>22</v>
      </c>
      <c r="F99" s="1">
        <v>45565</v>
      </c>
      <c r="G99" s="1">
        <v>45596</v>
      </c>
      <c r="H99">
        <v>227503</v>
      </c>
      <c r="I99">
        <v>11352</v>
      </c>
      <c r="J99">
        <v>724</v>
      </c>
      <c r="K99">
        <v>6606.31</v>
      </c>
      <c r="L99">
        <v>22980.35</v>
      </c>
      <c r="M99">
        <v>4.99</v>
      </c>
      <c r="N99">
        <v>6.38</v>
      </c>
      <c r="O99">
        <v>0.57999999999999996</v>
      </c>
      <c r="P99">
        <v>9.1199999999999992</v>
      </c>
      <c r="Q99">
        <v>3.48</v>
      </c>
      <c r="R99">
        <v>247.85</v>
      </c>
    </row>
    <row r="100" spans="1:18" x14ac:dyDescent="0.3">
      <c r="A100" t="s">
        <v>228</v>
      </c>
      <c r="B100" t="s">
        <v>229</v>
      </c>
      <c r="C100" t="s">
        <v>44</v>
      </c>
      <c r="D100" t="s">
        <v>30</v>
      </c>
      <c r="E100" t="s">
        <v>31</v>
      </c>
      <c r="F100" s="1">
        <v>45408</v>
      </c>
      <c r="G100" s="1">
        <v>45420</v>
      </c>
      <c r="H100">
        <v>68821</v>
      </c>
      <c r="I100">
        <v>1933</v>
      </c>
      <c r="J100">
        <v>44</v>
      </c>
      <c r="K100">
        <v>11054.99</v>
      </c>
      <c r="L100">
        <v>36406.35</v>
      </c>
      <c r="M100">
        <v>2.81</v>
      </c>
      <c r="N100">
        <v>2.3199999999999998</v>
      </c>
      <c r="O100">
        <v>5.72</v>
      </c>
      <c r="P100">
        <v>251.25</v>
      </c>
      <c r="Q100">
        <v>3.29</v>
      </c>
      <c r="R100">
        <v>229.32</v>
      </c>
    </row>
    <row r="101" spans="1:18" x14ac:dyDescent="0.3">
      <c r="A101" t="s">
        <v>230</v>
      </c>
      <c r="B101" t="s">
        <v>231</v>
      </c>
      <c r="C101" t="s">
        <v>25</v>
      </c>
      <c r="D101" t="s">
        <v>21</v>
      </c>
      <c r="E101" t="s">
        <v>26</v>
      </c>
      <c r="F101" s="1">
        <v>45320</v>
      </c>
      <c r="G101" s="1">
        <v>45345</v>
      </c>
      <c r="H101">
        <v>282615</v>
      </c>
      <c r="I101">
        <v>3052</v>
      </c>
      <c r="J101">
        <v>216</v>
      </c>
      <c r="K101">
        <v>4463.16</v>
      </c>
      <c r="L101">
        <v>15441.13</v>
      </c>
      <c r="M101">
        <v>1.08</v>
      </c>
      <c r="N101">
        <v>7.1</v>
      </c>
      <c r="O101">
        <v>1.46</v>
      </c>
      <c r="P101">
        <v>20.66</v>
      </c>
      <c r="Q101">
        <v>3.46</v>
      </c>
      <c r="R101">
        <v>245.97</v>
      </c>
    </row>
    <row r="102" spans="1:18" x14ac:dyDescent="0.3">
      <c r="A102" t="s">
        <v>232</v>
      </c>
      <c r="B102" t="s">
        <v>233</v>
      </c>
      <c r="C102" t="s">
        <v>44</v>
      </c>
      <c r="D102" t="s">
        <v>57</v>
      </c>
      <c r="E102" t="s">
        <v>38</v>
      </c>
      <c r="F102" s="1">
        <v>45381</v>
      </c>
      <c r="G102" s="1">
        <v>45393</v>
      </c>
      <c r="H102">
        <v>126320</v>
      </c>
      <c r="I102">
        <v>2311</v>
      </c>
      <c r="J102">
        <v>67</v>
      </c>
      <c r="K102">
        <v>11022.5</v>
      </c>
      <c r="L102">
        <v>30976.05</v>
      </c>
      <c r="M102">
        <v>1.83</v>
      </c>
      <c r="N102">
        <v>2.94</v>
      </c>
      <c r="O102">
        <v>4.7699999999999996</v>
      </c>
      <c r="P102">
        <v>164.51</v>
      </c>
      <c r="Q102">
        <v>2.81</v>
      </c>
      <c r="R102">
        <v>181.03</v>
      </c>
    </row>
    <row r="103" spans="1:18" x14ac:dyDescent="0.3">
      <c r="A103" t="s">
        <v>234</v>
      </c>
      <c r="B103" t="s">
        <v>235</v>
      </c>
      <c r="C103" t="s">
        <v>37</v>
      </c>
      <c r="D103" t="s">
        <v>30</v>
      </c>
      <c r="E103" t="s">
        <v>31</v>
      </c>
      <c r="F103" s="1">
        <v>45422</v>
      </c>
      <c r="G103" s="1">
        <v>45458</v>
      </c>
      <c r="H103">
        <v>408159</v>
      </c>
      <c r="I103">
        <v>22203</v>
      </c>
      <c r="J103">
        <v>3803</v>
      </c>
      <c r="K103">
        <v>1144.03</v>
      </c>
      <c r="L103">
        <v>4662.12</v>
      </c>
      <c r="M103">
        <v>5.44</v>
      </c>
      <c r="N103">
        <v>17.13</v>
      </c>
      <c r="O103">
        <v>0.05</v>
      </c>
      <c r="P103">
        <v>0.3</v>
      </c>
      <c r="Q103">
        <v>4.08</v>
      </c>
      <c r="R103">
        <v>307.52</v>
      </c>
    </row>
    <row r="104" spans="1:18" x14ac:dyDescent="0.3">
      <c r="A104" t="s">
        <v>236</v>
      </c>
      <c r="B104" t="s">
        <v>237</v>
      </c>
      <c r="C104" t="s">
        <v>44</v>
      </c>
      <c r="D104" t="s">
        <v>21</v>
      </c>
      <c r="E104" t="s">
        <v>38</v>
      </c>
      <c r="F104" s="1">
        <v>45592</v>
      </c>
      <c r="G104" s="1">
        <v>45618</v>
      </c>
      <c r="H104">
        <v>200801</v>
      </c>
      <c r="I104">
        <v>5943</v>
      </c>
      <c r="J104">
        <v>121</v>
      </c>
      <c r="K104">
        <v>8021.62</v>
      </c>
      <c r="L104">
        <v>28517.22</v>
      </c>
      <c r="M104">
        <v>2.96</v>
      </c>
      <c r="N104">
        <v>2.0499999999999998</v>
      </c>
      <c r="O104">
        <v>1.35</v>
      </c>
      <c r="P104">
        <v>66.290000000000006</v>
      </c>
      <c r="Q104">
        <v>3.56</v>
      </c>
      <c r="R104">
        <v>255.5</v>
      </c>
    </row>
    <row r="105" spans="1:18" x14ac:dyDescent="0.3">
      <c r="A105" t="s">
        <v>238</v>
      </c>
      <c r="B105" t="s">
        <v>239</v>
      </c>
      <c r="C105" t="s">
        <v>25</v>
      </c>
      <c r="D105" t="s">
        <v>57</v>
      </c>
      <c r="E105" t="s">
        <v>38</v>
      </c>
      <c r="F105" s="1">
        <v>45487</v>
      </c>
      <c r="G105" s="1">
        <v>45530</v>
      </c>
      <c r="H105">
        <v>493182</v>
      </c>
      <c r="I105">
        <v>6460</v>
      </c>
      <c r="J105">
        <v>775</v>
      </c>
      <c r="K105">
        <v>17653.37</v>
      </c>
      <c r="L105">
        <v>43779.29</v>
      </c>
      <c r="M105">
        <v>1.31</v>
      </c>
      <c r="N105">
        <v>12</v>
      </c>
      <c r="O105">
        <v>2.73</v>
      </c>
      <c r="P105">
        <v>22.78</v>
      </c>
      <c r="Q105">
        <v>2.48</v>
      </c>
      <c r="R105">
        <v>147.99</v>
      </c>
    </row>
    <row r="106" spans="1:18" x14ac:dyDescent="0.3">
      <c r="A106" t="s">
        <v>240</v>
      </c>
      <c r="B106" t="s">
        <v>241</v>
      </c>
      <c r="C106" t="s">
        <v>44</v>
      </c>
      <c r="D106" t="s">
        <v>57</v>
      </c>
      <c r="E106" t="s">
        <v>22</v>
      </c>
      <c r="F106" s="1">
        <v>45317</v>
      </c>
      <c r="G106" s="1">
        <v>45362</v>
      </c>
      <c r="H106">
        <v>61502</v>
      </c>
      <c r="I106">
        <v>2300</v>
      </c>
      <c r="J106">
        <v>87</v>
      </c>
      <c r="K106">
        <v>5931</v>
      </c>
      <c r="L106">
        <v>26966.36</v>
      </c>
      <c r="M106">
        <v>3.74</v>
      </c>
      <c r="N106">
        <v>3.8</v>
      </c>
      <c r="O106">
        <v>2.58</v>
      </c>
      <c r="P106">
        <v>68.17</v>
      </c>
      <c r="Q106">
        <v>4.55</v>
      </c>
      <c r="R106">
        <v>354.67</v>
      </c>
    </row>
    <row r="107" spans="1:18" x14ac:dyDescent="0.3">
      <c r="A107" t="s">
        <v>242</v>
      </c>
      <c r="B107" t="s">
        <v>243</v>
      </c>
      <c r="C107" t="s">
        <v>25</v>
      </c>
      <c r="D107" t="s">
        <v>57</v>
      </c>
      <c r="E107" t="s">
        <v>41</v>
      </c>
      <c r="F107" s="1">
        <v>45362</v>
      </c>
      <c r="G107" s="1">
        <v>45375</v>
      </c>
      <c r="H107">
        <v>368276</v>
      </c>
      <c r="I107">
        <v>7954</v>
      </c>
      <c r="J107">
        <v>519</v>
      </c>
      <c r="K107">
        <v>7042.11</v>
      </c>
      <c r="L107">
        <v>22026.46</v>
      </c>
      <c r="M107">
        <v>2.16</v>
      </c>
      <c r="N107">
        <v>6.53</v>
      </c>
      <c r="O107">
        <v>0.89</v>
      </c>
      <c r="P107">
        <v>13.57</v>
      </c>
      <c r="Q107">
        <v>3.13</v>
      </c>
      <c r="R107">
        <v>212.78</v>
      </c>
    </row>
    <row r="108" spans="1:18" x14ac:dyDescent="0.3">
      <c r="A108" t="s">
        <v>244</v>
      </c>
      <c r="B108" t="s">
        <v>245</v>
      </c>
      <c r="C108" t="s">
        <v>20</v>
      </c>
      <c r="D108" t="s">
        <v>57</v>
      </c>
      <c r="E108" t="s">
        <v>38</v>
      </c>
      <c r="F108" s="1">
        <v>45504</v>
      </c>
      <c r="G108" s="1">
        <v>45522</v>
      </c>
      <c r="H108">
        <v>67492</v>
      </c>
      <c r="I108">
        <v>3253</v>
      </c>
      <c r="J108">
        <v>272</v>
      </c>
      <c r="K108">
        <v>6802.67</v>
      </c>
      <c r="L108">
        <v>22639.27</v>
      </c>
      <c r="M108">
        <v>4.82</v>
      </c>
      <c r="N108">
        <v>8.39</v>
      </c>
      <c r="O108">
        <v>2.09</v>
      </c>
      <c r="P108">
        <v>25.01</v>
      </c>
      <c r="Q108">
        <v>3.33</v>
      </c>
      <c r="R108">
        <v>232.8</v>
      </c>
    </row>
    <row r="109" spans="1:18" x14ac:dyDescent="0.3">
      <c r="A109" t="s">
        <v>246</v>
      </c>
      <c r="B109" t="s">
        <v>247</v>
      </c>
      <c r="C109" t="s">
        <v>29</v>
      </c>
      <c r="D109" t="s">
        <v>34</v>
      </c>
      <c r="E109" t="s">
        <v>31</v>
      </c>
      <c r="F109" s="1">
        <v>45538</v>
      </c>
      <c r="G109" s="1">
        <v>45563</v>
      </c>
      <c r="H109">
        <v>241814</v>
      </c>
      <c r="I109">
        <v>7472</v>
      </c>
      <c r="J109">
        <v>490</v>
      </c>
      <c r="K109">
        <v>15457.09</v>
      </c>
      <c r="L109">
        <v>48788.22</v>
      </c>
      <c r="M109">
        <v>3.09</v>
      </c>
      <c r="N109">
        <v>6.57</v>
      </c>
      <c r="O109">
        <v>2.0699999999999998</v>
      </c>
      <c r="P109">
        <v>31.55</v>
      </c>
      <c r="Q109">
        <v>3.16</v>
      </c>
      <c r="R109">
        <v>215.64</v>
      </c>
    </row>
    <row r="110" spans="1:18" x14ac:dyDescent="0.3">
      <c r="A110" t="s">
        <v>248</v>
      </c>
      <c r="B110" t="s">
        <v>249</v>
      </c>
      <c r="C110" t="s">
        <v>44</v>
      </c>
      <c r="D110" t="s">
        <v>21</v>
      </c>
      <c r="E110" t="s">
        <v>38</v>
      </c>
      <c r="F110" s="1">
        <v>45495</v>
      </c>
      <c r="G110" s="1">
        <v>45537</v>
      </c>
      <c r="H110">
        <v>89478</v>
      </c>
      <c r="I110">
        <v>1404</v>
      </c>
      <c r="J110">
        <v>68</v>
      </c>
      <c r="K110">
        <v>13251.76</v>
      </c>
      <c r="L110">
        <v>69690.679999999993</v>
      </c>
      <c r="M110">
        <v>1.57</v>
      </c>
      <c r="N110">
        <v>4.88</v>
      </c>
      <c r="O110">
        <v>9.44</v>
      </c>
      <c r="P110">
        <v>194.88</v>
      </c>
      <c r="Q110">
        <v>5.26</v>
      </c>
      <c r="R110">
        <v>425.9</v>
      </c>
    </row>
    <row r="111" spans="1:18" x14ac:dyDescent="0.3">
      <c r="A111" t="s">
        <v>250</v>
      </c>
      <c r="B111" t="s">
        <v>251</v>
      </c>
      <c r="C111" t="s">
        <v>44</v>
      </c>
      <c r="D111" t="s">
        <v>21</v>
      </c>
      <c r="E111" t="s">
        <v>38</v>
      </c>
      <c r="F111" s="1">
        <v>45426</v>
      </c>
      <c r="G111" s="1">
        <v>45470</v>
      </c>
      <c r="H111">
        <v>57297</v>
      </c>
      <c r="I111">
        <v>1082</v>
      </c>
      <c r="J111">
        <v>20</v>
      </c>
      <c r="K111">
        <v>7107.32</v>
      </c>
      <c r="L111">
        <v>38170.230000000003</v>
      </c>
      <c r="M111">
        <v>1.89</v>
      </c>
      <c r="N111">
        <v>1.93</v>
      </c>
      <c r="O111">
        <v>6.57</v>
      </c>
      <c r="P111">
        <v>355.37</v>
      </c>
      <c r="Q111">
        <v>5.37</v>
      </c>
      <c r="R111">
        <v>437.06</v>
      </c>
    </row>
    <row r="112" spans="1:18" x14ac:dyDescent="0.3">
      <c r="A112" t="s">
        <v>252</v>
      </c>
      <c r="B112" t="s">
        <v>253</v>
      </c>
      <c r="C112" t="s">
        <v>25</v>
      </c>
      <c r="D112" t="s">
        <v>57</v>
      </c>
      <c r="E112" t="s">
        <v>26</v>
      </c>
      <c r="F112" s="1">
        <v>45604</v>
      </c>
      <c r="G112" s="1">
        <v>45625</v>
      </c>
      <c r="H112">
        <v>403808</v>
      </c>
      <c r="I112">
        <v>4845</v>
      </c>
      <c r="J112">
        <v>250</v>
      </c>
      <c r="K112">
        <v>18147.759999999998</v>
      </c>
      <c r="L112">
        <v>82142.81</v>
      </c>
      <c r="M112">
        <v>1.2</v>
      </c>
      <c r="N112">
        <v>5.18</v>
      </c>
      <c r="O112">
        <v>3.75</v>
      </c>
      <c r="P112">
        <v>72.59</v>
      </c>
      <c r="Q112">
        <v>4.53</v>
      </c>
      <c r="R112">
        <v>352.63</v>
      </c>
    </row>
    <row r="113" spans="1:18" x14ac:dyDescent="0.3">
      <c r="A113" t="s">
        <v>254</v>
      </c>
      <c r="B113" t="s">
        <v>255</v>
      </c>
      <c r="C113" t="s">
        <v>20</v>
      </c>
      <c r="D113" t="s">
        <v>30</v>
      </c>
      <c r="E113" t="s">
        <v>22</v>
      </c>
      <c r="F113" s="1">
        <v>45544</v>
      </c>
      <c r="G113" s="1">
        <v>45558</v>
      </c>
      <c r="H113">
        <v>390388</v>
      </c>
      <c r="I113">
        <v>16123</v>
      </c>
      <c r="J113">
        <v>780</v>
      </c>
      <c r="K113">
        <v>23925.23</v>
      </c>
      <c r="L113">
        <v>80619.429999999993</v>
      </c>
      <c r="M113">
        <v>4.13</v>
      </c>
      <c r="N113">
        <v>4.84</v>
      </c>
      <c r="O113">
        <v>1.48</v>
      </c>
      <c r="P113">
        <v>30.67</v>
      </c>
      <c r="Q113">
        <v>3.37</v>
      </c>
      <c r="R113">
        <v>236.96</v>
      </c>
    </row>
    <row r="114" spans="1:18" x14ac:dyDescent="0.3">
      <c r="A114" t="s">
        <v>256</v>
      </c>
      <c r="B114" t="s">
        <v>257</v>
      </c>
      <c r="C114" t="s">
        <v>20</v>
      </c>
      <c r="D114" t="s">
        <v>34</v>
      </c>
      <c r="E114" t="s">
        <v>31</v>
      </c>
      <c r="F114" s="1">
        <v>45568</v>
      </c>
      <c r="G114" s="1">
        <v>45601</v>
      </c>
      <c r="H114">
        <v>121127</v>
      </c>
      <c r="I114">
        <v>4905</v>
      </c>
      <c r="J114">
        <v>305</v>
      </c>
      <c r="K114">
        <v>23987.62</v>
      </c>
      <c r="L114">
        <v>123156.71</v>
      </c>
      <c r="M114">
        <v>4.05</v>
      </c>
      <c r="N114">
        <v>6.23</v>
      </c>
      <c r="O114">
        <v>4.8899999999999997</v>
      </c>
      <c r="P114">
        <v>78.650000000000006</v>
      </c>
      <c r="Q114">
        <v>5.13</v>
      </c>
      <c r="R114">
        <v>413.42</v>
      </c>
    </row>
    <row r="115" spans="1:18" x14ac:dyDescent="0.3">
      <c r="A115" t="s">
        <v>258</v>
      </c>
      <c r="B115" t="s">
        <v>259</v>
      </c>
      <c r="C115" t="s">
        <v>37</v>
      </c>
      <c r="D115" t="s">
        <v>34</v>
      </c>
      <c r="E115" t="s">
        <v>38</v>
      </c>
      <c r="F115" s="1">
        <v>45308</v>
      </c>
      <c r="G115" s="1">
        <v>45338</v>
      </c>
      <c r="H115">
        <v>393367</v>
      </c>
      <c r="I115">
        <v>18055</v>
      </c>
      <c r="J115">
        <v>2327</v>
      </c>
      <c r="K115">
        <v>2336.52</v>
      </c>
      <c r="L115">
        <v>14677.66</v>
      </c>
      <c r="M115">
        <v>4.59</v>
      </c>
      <c r="N115">
        <v>12.89</v>
      </c>
      <c r="O115">
        <v>0.13</v>
      </c>
      <c r="P115">
        <v>1</v>
      </c>
      <c r="Q115">
        <v>6.28</v>
      </c>
      <c r="R115">
        <v>528.17999999999995</v>
      </c>
    </row>
    <row r="116" spans="1:18" x14ac:dyDescent="0.3">
      <c r="A116" t="s">
        <v>260</v>
      </c>
      <c r="B116" t="s">
        <v>261</v>
      </c>
      <c r="C116" t="s">
        <v>29</v>
      </c>
      <c r="D116" t="s">
        <v>30</v>
      </c>
      <c r="E116" t="s">
        <v>38</v>
      </c>
      <c r="F116" s="1">
        <v>45622</v>
      </c>
      <c r="G116" s="1">
        <v>45651</v>
      </c>
      <c r="H116">
        <v>173791</v>
      </c>
      <c r="I116">
        <v>7073</v>
      </c>
      <c r="J116">
        <v>176</v>
      </c>
      <c r="K116">
        <v>13285.2</v>
      </c>
      <c r="L116">
        <v>59120.42</v>
      </c>
      <c r="M116">
        <v>4.07</v>
      </c>
      <c r="N116">
        <v>2.5</v>
      </c>
      <c r="O116">
        <v>1.88</v>
      </c>
      <c r="P116">
        <v>75.48</v>
      </c>
      <c r="Q116">
        <v>4.45</v>
      </c>
      <c r="R116">
        <v>345.01</v>
      </c>
    </row>
    <row r="117" spans="1:18" x14ac:dyDescent="0.3">
      <c r="A117" t="s">
        <v>262</v>
      </c>
      <c r="B117" t="s">
        <v>263</v>
      </c>
      <c r="C117" t="s">
        <v>20</v>
      </c>
      <c r="D117" t="s">
        <v>30</v>
      </c>
      <c r="E117" t="s">
        <v>22</v>
      </c>
      <c r="F117" s="1">
        <v>45400</v>
      </c>
      <c r="G117" s="1">
        <v>45445</v>
      </c>
      <c r="H117">
        <v>149514</v>
      </c>
      <c r="I117">
        <v>9524</v>
      </c>
      <c r="J117">
        <v>922</v>
      </c>
      <c r="K117">
        <v>21483.82</v>
      </c>
      <c r="L117">
        <v>51830.37</v>
      </c>
      <c r="M117">
        <v>6.37</v>
      </c>
      <c r="N117">
        <v>9.69</v>
      </c>
      <c r="O117">
        <v>2.2599999999999998</v>
      </c>
      <c r="P117">
        <v>23.3</v>
      </c>
      <c r="Q117">
        <v>2.41</v>
      </c>
      <c r="R117">
        <v>141.25</v>
      </c>
    </row>
    <row r="118" spans="1:18" x14ac:dyDescent="0.3">
      <c r="A118" t="s">
        <v>264</v>
      </c>
      <c r="B118" t="s">
        <v>265</v>
      </c>
      <c r="C118" t="s">
        <v>20</v>
      </c>
      <c r="D118" t="s">
        <v>21</v>
      </c>
      <c r="E118" t="s">
        <v>22</v>
      </c>
      <c r="F118" s="1">
        <v>45575</v>
      </c>
      <c r="G118" s="1">
        <v>45595</v>
      </c>
      <c r="H118">
        <v>177700</v>
      </c>
      <c r="I118">
        <v>11479</v>
      </c>
      <c r="J118">
        <v>1000</v>
      </c>
      <c r="K118">
        <v>9104.11</v>
      </c>
      <c r="L118">
        <v>52204.61</v>
      </c>
      <c r="M118">
        <v>6.46</v>
      </c>
      <c r="N118">
        <v>8.7200000000000006</v>
      </c>
      <c r="O118">
        <v>0.79</v>
      </c>
      <c r="P118">
        <v>9.1</v>
      </c>
      <c r="Q118">
        <v>5.73</v>
      </c>
      <c r="R118">
        <v>473.42</v>
      </c>
    </row>
    <row r="119" spans="1:18" x14ac:dyDescent="0.3">
      <c r="A119" t="s">
        <v>266</v>
      </c>
      <c r="B119" t="s">
        <v>267</v>
      </c>
      <c r="C119" t="s">
        <v>37</v>
      </c>
      <c r="D119" t="s">
        <v>34</v>
      </c>
      <c r="E119" t="s">
        <v>41</v>
      </c>
      <c r="F119" s="1">
        <v>45366</v>
      </c>
      <c r="G119" s="1">
        <v>45381</v>
      </c>
      <c r="H119">
        <v>222259</v>
      </c>
      <c r="I119">
        <v>19225</v>
      </c>
      <c r="J119">
        <v>3054</v>
      </c>
      <c r="K119">
        <v>3181.92</v>
      </c>
      <c r="L119">
        <v>10334.040000000001</v>
      </c>
      <c r="M119">
        <v>8.65</v>
      </c>
      <c r="N119">
        <v>15.89</v>
      </c>
      <c r="O119">
        <v>0.17</v>
      </c>
      <c r="P119">
        <v>1.04</v>
      </c>
      <c r="Q119">
        <v>3.25</v>
      </c>
      <c r="R119">
        <v>224.77</v>
      </c>
    </row>
    <row r="120" spans="1:18" x14ac:dyDescent="0.3">
      <c r="A120" t="s">
        <v>268</v>
      </c>
      <c r="B120" t="s">
        <v>269</v>
      </c>
      <c r="C120" t="s">
        <v>37</v>
      </c>
      <c r="D120" t="s">
        <v>57</v>
      </c>
      <c r="E120" t="s">
        <v>41</v>
      </c>
      <c r="F120" s="1">
        <v>45413</v>
      </c>
      <c r="G120" s="1">
        <v>45457</v>
      </c>
      <c r="H120">
        <v>107633</v>
      </c>
      <c r="I120">
        <v>8578</v>
      </c>
      <c r="J120">
        <v>708</v>
      </c>
      <c r="K120">
        <v>566.87</v>
      </c>
      <c r="L120">
        <v>3148.92</v>
      </c>
      <c r="M120">
        <v>7.97</v>
      </c>
      <c r="N120">
        <v>8.26</v>
      </c>
      <c r="O120">
        <v>7.0000000000000007E-2</v>
      </c>
      <c r="P120">
        <v>0.8</v>
      </c>
      <c r="Q120">
        <v>5.55</v>
      </c>
      <c r="R120">
        <v>455.49</v>
      </c>
    </row>
    <row r="121" spans="1:18" x14ac:dyDescent="0.3">
      <c r="A121" t="s">
        <v>270</v>
      </c>
      <c r="B121" t="s">
        <v>271</v>
      </c>
      <c r="C121" t="s">
        <v>44</v>
      </c>
      <c r="D121" t="s">
        <v>21</v>
      </c>
      <c r="E121" t="s">
        <v>41</v>
      </c>
      <c r="F121" s="1">
        <v>45535</v>
      </c>
      <c r="G121" s="1">
        <v>45570</v>
      </c>
      <c r="H121">
        <v>189129</v>
      </c>
      <c r="I121">
        <v>2534</v>
      </c>
      <c r="J121">
        <v>103</v>
      </c>
      <c r="K121">
        <v>9076.07</v>
      </c>
      <c r="L121">
        <v>48606.84</v>
      </c>
      <c r="M121">
        <v>1.34</v>
      </c>
      <c r="N121">
        <v>4.0999999999999996</v>
      </c>
      <c r="O121">
        <v>3.58</v>
      </c>
      <c r="P121">
        <v>88.12</v>
      </c>
      <c r="Q121">
        <v>5.36</v>
      </c>
      <c r="R121">
        <v>435.55</v>
      </c>
    </row>
    <row r="122" spans="1:18" x14ac:dyDescent="0.3">
      <c r="A122" t="s">
        <v>272</v>
      </c>
      <c r="B122" t="s">
        <v>273</v>
      </c>
      <c r="C122" t="s">
        <v>44</v>
      </c>
      <c r="D122" t="s">
        <v>21</v>
      </c>
      <c r="E122" t="s">
        <v>38</v>
      </c>
      <c r="F122" s="1">
        <v>45558</v>
      </c>
      <c r="G122" s="1">
        <v>45584</v>
      </c>
      <c r="H122">
        <v>314156</v>
      </c>
      <c r="I122">
        <v>5591</v>
      </c>
      <c r="J122">
        <v>204</v>
      </c>
      <c r="K122">
        <v>11590.54</v>
      </c>
      <c r="L122">
        <v>70579.23</v>
      </c>
      <c r="M122">
        <v>1.78</v>
      </c>
      <c r="N122">
        <v>3.65</v>
      </c>
      <c r="O122">
        <v>2.0699999999999998</v>
      </c>
      <c r="P122">
        <v>56.82</v>
      </c>
      <c r="Q122">
        <v>6.09</v>
      </c>
      <c r="R122">
        <v>508.94</v>
      </c>
    </row>
    <row r="123" spans="1:18" x14ac:dyDescent="0.3">
      <c r="A123" t="s">
        <v>274</v>
      </c>
      <c r="B123" t="s">
        <v>275</v>
      </c>
      <c r="C123" t="s">
        <v>25</v>
      </c>
      <c r="D123" t="s">
        <v>21</v>
      </c>
      <c r="E123" t="s">
        <v>26</v>
      </c>
      <c r="F123" s="1">
        <v>45519</v>
      </c>
      <c r="G123" s="1">
        <v>45530</v>
      </c>
      <c r="H123">
        <v>301124</v>
      </c>
      <c r="I123">
        <v>6745</v>
      </c>
      <c r="J123">
        <v>538</v>
      </c>
      <c r="K123">
        <v>5727.39</v>
      </c>
      <c r="L123">
        <v>29815.68</v>
      </c>
      <c r="M123">
        <v>2.2400000000000002</v>
      </c>
      <c r="N123">
        <v>7.98</v>
      </c>
      <c r="O123">
        <v>0.85</v>
      </c>
      <c r="P123">
        <v>10.65</v>
      </c>
      <c r="Q123">
        <v>5.21</v>
      </c>
      <c r="R123">
        <v>420.58</v>
      </c>
    </row>
    <row r="124" spans="1:18" x14ac:dyDescent="0.3">
      <c r="A124" t="s">
        <v>276</v>
      </c>
      <c r="B124" t="s">
        <v>277</v>
      </c>
      <c r="C124" t="s">
        <v>20</v>
      </c>
      <c r="D124" t="s">
        <v>57</v>
      </c>
      <c r="E124" t="s">
        <v>31</v>
      </c>
      <c r="F124" s="1">
        <v>45458</v>
      </c>
      <c r="G124" s="1">
        <v>45489</v>
      </c>
      <c r="H124">
        <v>127769</v>
      </c>
      <c r="I124">
        <v>3526</v>
      </c>
      <c r="J124">
        <v>199</v>
      </c>
      <c r="K124">
        <v>17661.53</v>
      </c>
      <c r="L124">
        <v>78904.72</v>
      </c>
      <c r="M124">
        <v>2.76</v>
      </c>
      <c r="N124">
        <v>5.65</v>
      </c>
      <c r="O124">
        <v>5.01</v>
      </c>
      <c r="P124">
        <v>88.75</v>
      </c>
      <c r="Q124">
        <v>4.47</v>
      </c>
      <c r="R124">
        <v>346.76</v>
      </c>
    </row>
    <row r="125" spans="1:18" x14ac:dyDescent="0.3">
      <c r="A125" t="s">
        <v>278</v>
      </c>
      <c r="B125" t="s">
        <v>279</v>
      </c>
      <c r="C125" t="s">
        <v>37</v>
      </c>
      <c r="D125" t="s">
        <v>57</v>
      </c>
      <c r="E125" t="s">
        <v>38</v>
      </c>
      <c r="F125" s="1">
        <v>45574</v>
      </c>
      <c r="G125" s="1">
        <v>45594</v>
      </c>
      <c r="H125">
        <v>315054</v>
      </c>
      <c r="I125">
        <v>24038</v>
      </c>
      <c r="J125">
        <v>2161</v>
      </c>
      <c r="K125">
        <v>3658.01</v>
      </c>
      <c r="L125">
        <v>21353.88</v>
      </c>
      <c r="M125">
        <v>7.63</v>
      </c>
      <c r="N125">
        <v>8.99</v>
      </c>
      <c r="O125">
        <v>0.15</v>
      </c>
      <c r="P125">
        <v>1.69</v>
      </c>
      <c r="Q125">
        <v>5.84</v>
      </c>
      <c r="R125">
        <v>483.76</v>
      </c>
    </row>
    <row r="126" spans="1:18" x14ac:dyDescent="0.3">
      <c r="A126" t="s">
        <v>280</v>
      </c>
      <c r="B126" t="s">
        <v>281</v>
      </c>
      <c r="C126" t="s">
        <v>25</v>
      </c>
      <c r="D126" t="s">
        <v>30</v>
      </c>
      <c r="E126" t="s">
        <v>41</v>
      </c>
      <c r="F126" s="1">
        <v>45510</v>
      </c>
      <c r="G126" s="1">
        <v>45537</v>
      </c>
      <c r="H126">
        <v>266957</v>
      </c>
      <c r="I126">
        <v>3684</v>
      </c>
      <c r="J126">
        <v>300</v>
      </c>
      <c r="K126">
        <v>10655.83</v>
      </c>
      <c r="L126">
        <v>25871.14</v>
      </c>
      <c r="M126">
        <v>1.38</v>
      </c>
      <c r="N126">
        <v>8.17</v>
      </c>
      <c r="O126">
        <v>2.89</v>
      </c>
      <c r="P126">
        <v>35.520000000000003</v>
      </c>
      <c r="Q126">
        <v>2.4300000000000002</v>
      </c>
      <c r="R126">
        <v>142.79</v>
      </c>
    </row>
    <row r="127" spans="1:18" x14ac:dyDescent="0.3">
      <c r="A127" t="s">
        <v>282</v>
      </c>
      <c r="B127" t="s">
        <v>283</v>
      </c>
      <c r="C127" t="s">
        <v>44</v>
      </c>
      <c r="D127" t="s">
        <v>57</v>
      </c>
      <c r="E127" t="s">
        <v>41</v>
      </c>
      <c r="F127" s="1">
        <v>45341</v>
      </c>
      <c r="G127" s="1">
        <v>45371</v>
      </c>
      <c r="H127">
        <v>410092</v>
      </c>
      <c r="I127">
        <v>14763</v>
      </c>
      <c r="J127">
        <v>255</v>
      </c>
      <c r="K127">
        <v>12897.15</v>
      </c>
      <c r="L127">
        <v>31205.11</v>
      </c>
      <c r="M127">
        <v>3.6</v>
      </c>
      <c r="N127">
        <v>1.73</v>
      </c>
      <c r="O127">
        <v>0.87</v>
      </c>
      <c r="P127">
        <v>50.58</v>
      </c>
      <c r="Q127">
        <v>2.42</v>
      </c>
      <c r="R127">
        <v>141.94999999999999</v>
      </c>
    </row>
    <row r="128" spans="1:18" x14ac:dyDescent="0.3">
      <c r="A128" t="s">
        <v>284</v>
      </c>
      <c r="B128" t="s">
        <v>285</v>
      </c>
      <c r="C128" t="s">
        <v>29</v>
      </c>
      <c r="D128" t="s">
        <v>21</v>
      </c>
      <c r="E128" t="s">
        <v>31</v>
      </c>
      <c r="F128" s="1">
        <v>45508</v>
      </c>
      <c r="G128" s="1">
        <v>45518</v>
      </c>
      <c r="H128">
        <v>344433</v>
      </c>
      <c r="I128">
        <v>10987</v>
      </c>
      <c r="J128">
        <v>587</v>
      </c>
      <c r="K128">
        <v>9162.1299999999992</v>
      </c>
      <c r="L128">
        <v>54342.73</v>
      </c>
      <c r="M128">
        <v>3.19</v>
      </c>
      <c r="N128">
        <v>5.35</v>
      </c>
      <c r="O128">
        <v>0.83</v>
      </c>
      <c r="P128">
        <v>15.61</v>
      </c>
      <c r="Q128">
        <v>5.93</v>
      </c>
      <c r="R128">
        <v>493.12</v>
      </c>
    </row>
    <row r="129" spans="1:18" x14ac:dyDescent="0.3">
      <c r="A129" t="s">
        <v>286</v>
      </c>
      <c r="B129" t="s">
        <v>287</v>
      </c>
      <c r="C129" t="s">
        <v>44</v>
      </c>
      <c r="D129" t="s">
        <v>57</v>
      </c>
      <c r="E129" t="s">
        <v>22</v>
      </c>
      <c r="F129" s="1">
        <v>45347</v>
      </c>
      <c r="G129" s="1">
        <v>45376</v>
      </c>
      <c r="H129">
        <v>104316</v>
      </c>
      <c r="I129">
        <v>2816</v>
      </c>
      <c r="J129">
        <v>63</v>
      </c>
      <c r="K129">
        <v>10709.2</v>
      </c>
      <c r="L129">
        <v>32225.07</v>
      </c>
      <c r="M129">
        <v>2.7</v>
      </c>
      <c r="N129">
        <v>2.2400000000000002</v>
      </c>
      <c r="O129">
        <v>3.8</v>
      </c>
      <c r="P129">
        <v>169.99</v>
      </c>
      <c r="Q129">
        <v>3.01</v>
      </c>
      <c r="R129">
        <v>200.91</v>
      </c>
    </row>
    <row r="130" spans="1:18" x14ac:dyDescent="0.3">
      <c r="A130" t="s">
        <v>288</v>
      </c>
      <c r="B130" t="s">
        <v>289</v>
      </c>
      <c r="C130" t="s">
        <v>37</v>
      </c>
      <c r="D130" t="s">
        <v>57</v>
      </c>
      <c r="E130" t="s">
        <v>26</v>
      </c>
      <c r="F130" s="1">
        <v>45610</v>
      </c>
      <c r="G130" s="1">
        <v>45652</v>
      </c>
      <c r="H130">
        <v>449824</v>
      </c>
      <c r="I130">
        <v>25505</v>
      </c>
      <c r="J130">
        <v>2616</v>
      </c>
      <c r="K130">
        <v>2431.0100000000002</v>
      </c>
      <c r="L130">
        <v>10998.73</v>
      </c>
      <c r="M130">
        <v>5.67</v>
      </c>
      <c r="N130">
        <v>10.26</v>
      </c>
      <c r="O130">
        <v>0.1</v>
      </c>
      <c r="P130">
        <v>0.93</v>
      </c>
      <c r="Q130">
        <v>4.5199999999999996</v>
      </c>
      <c r="R130">
        <v>352.43</v>
      </c>
    </row>
    <row r="131" spans="1:18" x14ac:dyDescent="0.3">
      <c r="A131" t="s">
        <v>290</v>
      </c>
      <c r="B131" t="s">
        <v>291</v>
      </c>
      <c r="C131" t="s">
        <v>20</v>
      </c>
      <c r="D131" t="s">
        <v>57</v>
      </c>
      <c r="E131" t="s">
        <v>26</v>
      </c>
      <c r="F131" s="1">
        <v>45384</v>
      </c>
      <c r="G131" s="1">
        <v>45400</v>
      </c>
      <c r="H131">
        <v>144589</v>
      </c>
      <c r="I131">
        <v>5190</v>
      </c>
      <c r="J131">
        <v>444</v>
      </c>
      <c r="K131">
        <v>23430.75</v>
      </c>
      <c r="L131">
        <v>83872.84</v>
      </c>
      <c r="M131">
        <v>3.59</v>
      </c>
      <c r="N131">
        <v>8.57</v>
      </c>
      <c r="O131">
        <v>4.51</v>
      </c>
      <c r="P131">
        <v>52.77</v>
      </c>
      <c r="Q131">
        <v>3.58</v>
      </c>
      <c r="R131">
        <v>257.95999999999998</v>
      </c>
    </row>
    <row r="132" spans="1:18" x14ac:dyDescent="0.3">
      <c r="A132" t="s">
        <v>292</v>
      </c>
      <c r="B132" t="s">
        <v>293</v>
      </c>
      <c r="C132" t="s">
        <v>37</v>
      </c>
      <c r="D132" t="s">
        <v>30</v>
      </c>
      <c r="E132" t="s">
        <v>26</v>
      </c>
      <c r="F132" s="1">
        <v>45484</v>
      </c>
      <c r="G132" s="1">
        <v>45517</v>
      </c>
      <c r="H132">
        <v>124383</v>
      </c>
      <c r="I132">
        <v>10510</v>
      </c>
      <c r="J132">
        <v>1862</v>
      </c>
      <c r="K132">
        <v>912.91</v>
      </c>
      <c r="L132">
        <v>4005.09</v>
      </c>
      <c r="M132">
        <v>8.4499999999999993</v>
      </c>
      <c r="N132">
        <v>17.72</v>
      </c>
      <c r="O132">
        <v>0.09</v>
      </c>
      <c r="P132">
        <v>0.49</v>
      </c>
      <c r="Q132">
        <v>4.3899999999999997</v>
      </c>
      <c r="R132">
        <v>338.72</v>
      </c>
    </row>
    <row r="133" spans="1:18" x14ac:dyDescent="0.3">
      <c r="A133" t="s">
        <v>294</v>
      </c>
      <c r="B133" t="s">
        <v>295</v>
      </c>
      <c r="C133" t="s">
        <v>25</v>
      </c>
      <c r="D133" t="s">
        <v>57</v>
      </c>
      <c r="E133" t="s">
        <v>41</v>
      </c>
      <c r="F133" s="1">
        <v>45318</v>
      </c>
      <c r="G133" s="1">
        <v>45334</v>
      </c>
      <c r="H133">
        <v>244014</v>
      </c>
      <c r="I133">
        <v>3245</v>
      </c>
      <c r="J133">
        <v>235</v>
      </c>
      <c r="K133">
        <v>19062.52</v>
      </c>
      <c r="L133">
        <v>89269.91</v>
      </c>
      <c r="M133">
        <v>1.33</v>
      </c>
      <c r="N133">
        <v>7.27</v>
      </c>
      <c r="O133">
        <v>5.87</v>
      </c>
      <c r="P133">
        <v>81.12</v>
      </c>
      <c r="Q133">
        <v>4.68</v>
      </c>
      <c r="R133">
        <v>368.3</v>
      </c>
    </row>
    <row r="134" spans="1:18" x14ac:dyDescent="0.3">
      <c r="A134" t="s">
        <v>296</v>
      </c>
      <c r="B134" t="s">
        <v>297</v>
      </c>
      <c r="C134" t="s">
        <v>29</v>
      </c>
      <c r="D134" t="s">
        <v>21</v>
      </c>
      <c r="E134" t="s">
        <v>26</v>
      </c>
      <c r="F134" s="1">
        <v>45402</v>
      </c>
      <c r="G134" s="1">
        <v>45441</v>
      </c>
      <c r="H134">
        <v>192660</v>
      </c>
      <c r="I134">
        <v>5452</v>
      </c>
      <c r="J134">
        <v>224</v>
      </c>
      <c r="K134">
        <v>12106.14</v>
      </c>
      <c r="L134">
        <v>46776.03</v>
      </c>
      <c r="M134">
        <v>2.83</v>
      </c>
      <c r="N134">
        <v>4.12</v>
      </c>
      <c r="O134">
        <v>2.2200000000000002</v>
      </c>
      <c r="P134">
        <v>54.05</v>
      </c>
      <c r="Q134">
        <v>3.86</v>
      </c>
      <c r="R134">
        <v>286.38</v>
      </c>
    </row>
    <row r="135" spans="1:18" x14ac:dyDescent="0.3">
      <c r="A135" t="s">
        <v>298</v>
      </c>
      <c r="B135" t="s">
        <v>299</v>
      </c>
      <c r="C135" t="s">
        <v>20</v>
      </c>
      <c r="D135" t="s">
        <v>57</v>
      </c>
      <c r="E135" t="s">
        <v>38</v>
      </c>
      <c r="F135" s="1">
        <v>45315</v>
      </c>
      <c r="G135" s="1">
        <v>45336</v>
      </c>
      <c r="H135">
        <v>108138</v>
      </c>
      <c r="I135">
        <v>3925</v>
      </c>
      <c r="J135">
        <v>316</v>
      </c>
      <c r="K135">
        <v>14732.66</v>
      </c>
      <c r="L135">
        <v>73694.19</v>
      </c>
      <c r="M135">
        <v>3.63</v>
      </c>
      <c r="N135">
        <v>8.07</v>
      </c>
      <c r="O135">
        <v>3.75</v>
      </c>
      <c r="P135">
        <v>46.62</v>
      </c>
      <c r="Q135">
        <v>5</v>
      </c>
      <c r="R135">
        <v>400.21</v>
      </c>
    </row>
    <row r="136" spans="1:18" x14ac:dyDescent="0.3">
      <c r="A136" t="s">
        <v>300</v>
      </c>
      <c r="B136" t="s">
        <v>301</v>
      </c>
      <c r="C136" t="s">
        <v>25</v>
      </c>
      <c r="D136" t="s">
        <v>21</v>
      </c>
      <c r="E136" t="s">
        <v>26</v>
      </c>
      <c r="F136" s="1">
        <v>45459</v>
      </c>
      <c r="G136" s="1">
        <v>45473</v>
      </c>
      <c r="H136">
        <v>157176</v>
      </c>
      <c r="I136">
        <v>2059</v>
      </c>
      <c r="J136">
        <v>133</v>
      </c>
      <c r="K136">
        <v>6195.76</v>
      </c>
      <c r="L136">
        <v>19515.64</v>
      </c>
      <c r="M136">
        <v>1.31</v>
      </c>
      <c r="N136">
        <v>6.48</v>
      </c>
      <c r="O136">
        <v>3.01</v>
      </c>
      <c r="P136">
        <v>46.58</v>
      </c>
      <c r="Q136">
        <v>3.15</v>
      </c>
      <c r="R136">
        <v>214.98</v>
      </c>
    </row>
    <row r="137" spans="1:18" x14ac:dyDescent="0.3">
      <c r="A137" t="s">
        <v>302</v>
      </c>
      <c r="B137" t="s">
        <v>303</v>
      </c>
      <c r="C137" t="s">
        <v>20</v>
      </c>
      <c r="D137" t="s">
        <v>30</v>
      </c>
      <c r="E137" t="s">
        <v>38</v>
      </c>
      <c r="F137" s="1">
        <v>45473</v>
      </c>
      <c r="G137" s="1">
        <v>45484</v>
      </c>
      <c r="H137">
        <v>142114</v>
      </c>
      <c r="I137">
        <v>4291</v>
      </c>
      <c r="J137">
        <v>308</v>
      </c>
      <c r="K137">
        <v>9602.2099999999991</v>
      </c>
      <c r="L137">
        <v>43346.83</v>
      </c>
      <c r="M137">
        <v>3.02</v>
      </c>
      <c r="N137">
        <v>7.2</v>
      </c>
      <c r="O137">
        <v>2.2400000000000002</v>
      </c>
      <c r="P137">
        <v>31.18</v>
      </c>
      <c r="Q137">
        <v>4.51</v>
      </c>
      <c r="R137">
        <v>351.43</v>
      </c>
    </row>
    <row r="138" spans="1:18" x14ac:dyDescent="0.3">
      <c r="A138" t="s">
        <v>304</v>
      </c>
      <c r="B138" t="s">
        <v>305</v>
      </c>
      <c r="C138" t="s">
        <v>25</v>
      </c>
      <c r="D138" t="s">
        <v>21</v>
      </c>
      <c r="E138" t="s">
        <v>38</v>
      </c>
      <c r="F138" s="1">
        <v>45499</v>
      </c>
      <c r="G138" s="1">
        <v>45532</v>
      </c>
      <c r="H138">
        <v>59825</v>
      </c>
      <c r="I138">
        <v>945</v>
      </c>
      <c r="J138">
        <v>52</v>
      </c>
      <c r="K138">
        <v>9008.9699999999993</v>
      </c>
      <c r="L138">
        <v>35421.279999999999</v>
      </c>
      <c r="M138">
        <v>1.58</v>
      </c>
      <c r="N138">
        <v>5.55</v>
      </c>
      <c r="O138">
        <v>9.5299999999999994</v>
      </c>
      <c r="P138">
        <v>173.25</v>
      </c>
      <c r="Q138">
        <v>3.93</v>
      </c>
      <c r="R138">
        <v>293.18</v>
      </c>
    </row>
    <row r="139" spans="1:18" x14ac:dyDescent="0.3">
      <c r="A139" t="s">
        <v>306</v>
      </c>
      <c r="B139" t="s">
        <v>307</v>
      </c>
      <c r="C139" t="s">
        <v>44</v>
      </c>
      <c r="D139" t="s">
        <v>21</v>
      </c>
      <c r="E139" t="s">
        <v>38</v>
      </c>
      <c r="F139" s="1">
        <v>45477</v>
      </c>
      <c r="G139" s="1">
        <v>45489</v>
      </c>
      <c r="H139">
        <v>60934</v>
      </c>
      <c r="I139">
        <v>2260</v>
      </c>
      <c r="J139">
        <v>47</v>
      </c>
      <c r="K139">
        <v>14345.18</v>
      </c>
      <c r="L139">
        <v>58391.14</v>
      </c>
      <c r="M139">
        <v>3.71</v>
      </c>
      <c r="N139">
        <v>2.1</v>
      </c>
      <c r="O139">
        <v>6.35</v>
      </c>
      <c r="P139">
        <v>305.22000000000003</v>
      </c>
      <c r="Q139">
        <v>4.07</v>
      </c>
      <c r="R139">
        <v>307.04000000000002</v>
      </c>
    </row>
    <row r="140" spans="1:18" x14ac:dyDescent="0.3">
      <c r="A140" t="s">
        <v>308</v>
      </c>
      <c r="B140" t="s">
        <v>309</v>
      </c>
      <c r="C140" t="s">
        <v>25</v>
      </c>
      <c r="D140" t="s">
        <v>21</v>
      </c>
      <c r="E140" t="s">
        <v>41</v>
      </c>
      <c r="F140" s="1">
        <v>45465</v>
      </c>
      <c r="G140" s="1">
        <v>45486</v>
      </c>
      <c r="H140">
        <v>278419</v>
      </c>
      <c r="I140">
        <v>5011</v>
      </c>
      <c r="J140">
        <v>434</v>
      </c>
      <c r="K140">
        <v>10332.27</v>
      </c>
      <c r="L140">
        <v>35090.82</v>
      </c>
      <c r="M140">
        <v>1.8</v>
      </c>
      <c r="N140">
        <v>8.67</v>
      </c>
      <c r="O140">
        <v>2.06</v>
      </c>
      <c r="P140">
        <v>23.81</v>
      </c>
      <c r="Q140">
        <v>3.4</v>
      </c>
      <c r="R140">
        <v>239.62</v>
      </c>
    </row>
    <row r="141" spans="1:18" x14ac:dyDescent="0.3">
      <c r="A141" t="s">
        <v>310</v>
      </c>
      <c r="B141" t="s">
        <v>311</v>
      </c>
      <c r="C141" t="s">
        <v>44</v>
      </c>
      <c r="D141" t="s">
        <v>34</v>
      </c>
      <c r="E141" t="s">
        <v>26</v>
      </c>
      <c r="F141" s="1">
        <v>45471</v>
      </c>
      <c r="G141" s="1">
        <v>45487</v>
      </c>
      <c r="H141">
        <v>317640</v>
      </c>
      <c r="I141">
        <v>9052</v>
      </c>
      <c r="J141">
        <v>304</v>
      </c>
      <c r="K141">
        <v>4923.8</v>
      </c>
      <c r="L141">
        <v>27046.57</v>
      </c>
      <c r="M141">
        <v>2.85</v>
      </c>
      <c r="N141">
        <v>3.36</v>
      </c>
      <c r="O141">
        <v>0.54</v>
      </c>
      <c r="P141">
        <v>16.2</v>
      </c>
      <c r="Q141">
        <v>5.49</v>
      </c>
      <c r="R141">
        <v>449.3</v>
      </c>
    </row>
    <row r="142" spans="1:18" x14ac:dyDescent="0.3">
      <c r="A142" t="s">
        <v>312</v>
      </c>
      <c r="B142" t="s">
        <v>313</v>
      </c>
      <c r="C142" t="s">
        <v>29</v>
      </c>
      <c r="D142" t="s">
        <v>21</v>
      </c>
      <c r="E142" t="s">
        <v>41</v>
      </c>
      <c r="F142" s="1">
        <v>45382</v>
      </c>
      <c r="G142" s="1">
        <v>45420</v>
      </c>
      <c r="H142">
        <v>184201</v>
      </c>
      <c r="I142">
        <v>3849</v>
      </c>
      <c r="J142">
        <v>192</v>
      </c>
      <c r="K142">
        <v>14403.23</v>
      </c>
      <c r="L142">
        <v>71292.97</v>
      </c>
      <c r="M142">
        <v>2.09</v>
      </c>
      <c r="N142">
        <v>5.01</v>
      </c>
      <c r="O142">
        <v>3.74</v>
      </c>
      <c r="P142">
        <v>75.02</v>
      </c>
      <c r="Q142">
        <v>4.95</v>
      </c>
      <c r="R142">
        <v>394.98</v>
      </c>
    </row>
    <row r="143" spans="1:18" x14ac:dyDescent="0.3">
      <c r="A143" t="s">
        <v>314</v>
      </c>
      <c r="B143" t="s">
        <v>315</v>
      </c>
      <c r="C143" t="s">
        <v>25</v>
      </c>
      <c r="D143" t="s">
        <v>30</v>
      </c>
      <c r="E143" t="s">
        <v>31</v>
      </c>
      <c r="F143" s="1">
        <v>45369</v>
      </c>
      <c r="G143" s="1">
        <v>45404</v>
      </c>
      <c r="H143">
        <v>387112</v>
      </c>
      <c r="I143">
        <v>7277</v>
      </c>
      <c r="J143">
        <v>681</v>
      </c>
      <c r="K143">
        <v>17827.95</v>
      </c>
      <c r="L143">
        <v>85974.9</v>
      </c>
      <c r="M143">
        <v>1.88</v>
      </c>
      <c r="N143">
        <v>9.3699999999999992</v>
      </c>
      <c r="O143">
        <v>2.4500000000000002</v>
      </c>
      <c r="P143">
        <v>26.18</v>
      </c>
      <c r="Q143">
        <v>4.82</v>
      </c>
      <c r="R143">
        <v>382.25</v>
      </c>
    </row>
    <row r="144" spans="1:18" x14ac:dyDescent="0.3">
      <c r="A144" t="s">
        <v>316</v>
      </c>
      <c r="B144" t="s">
        <v>317</v>
      </c>
      <c r="C144" t="s">
        <v>20</v>
      </c>
      <c r="D144" t="s">
        <v>30</v>
      </c>
      <c r="E144" t="s">
        <v>38</v>
      </c>
      <c r="F144" s="1">
        <v>45450</v>
      </c>
      <c r="G144" s="1">
        <v>45486</v>
      </c>
      <c r="H144">
        <v>381027</v>
      </c>
      <c r="I144">
        <v>14136</v>
      </c>
      <c r="J144">
        <v>798</v>
      </c>
      <c r="K144">
        <v>6123.44</v>
      </c>
      <c r="L144">
        <v>26226.79</v>
      </c>
      <c r="M144">
        <v>3.71</v>
      </c>
      <c r="N144">
        <v>5.65</v>
      </c>
      <c r="O144">
        <v>0.43</v>
      </c>
      <c r="P144">
        <v>7.67</v>
      </c>
      <c r="Q144">
        <v>4.28</v>
      </c>
      <c r="R144">
        <v>328.3</v>
      </c>
    </row>
    <row r="145" spans="1:18" x14ac:dyDescent="0.3">
      <c r="A145" t="s">
        <v>318</v>
      </c>
      <c r="B145" t="s">
        <v>319</v>
      </c>
      <c r="C145" t="s">
        <v>25</v>
      </c>
      <c r="D145" t="s">
        <v>21</v>
      </c>
      <c r="E145" t="s">
        <v>26</v>
      </c>
      <c r="F145" s="1">
        <v>45606</v>
      </c>
      <c r="G145" s="1">
        <v>45651</v>
      </c>
      <c r="H145">
        <v>243324</v>
      </c>
      <c r="I145">
        <v>5377</v>
      </c>
      <c r="J145">
        <v>297</v>
      </c>
      <c r="K145">
        <v>17828</v>
      </c>
      <c r="L145">
        <v>104272.77</v>
      </c>
      <c r="M145">
        <v>2.21</v>
      </c>
      <c r="N145">
        <v>5.54</v>
      </c>
      <c r="O145">
        <v>3.32</v>
      </c>
      <c r="P145">
        <v>60.03</v>
      </c>
      <c r="Q145">
        <v>5.85</v>
      </c>
      <c r="R145">
        <v>484.88</v>
      </c>
    </row>
    <row r="146" spans="1:18" x14ac:dyDescent="0.3">
      <c r="A146" t="s">
        <v>320</v>
      </c>
      <c r="B146" t="s">
        <v>321</v>
      </c>
      <c r="C146" t="s">
        <v>37</v>
      </c>
      <c r="D146" t="s">
        <v>30</v>
      </c>
      <c r="E146" t="s">
        <v>38</v>
      </c>
      <c r="F146" s="1">
        <v>45584</v>
      </c>
      <c r="G146" s="1">
        <v>45603</v>
      </c>
      <c r="H146">
        <v>354259</v>
      </c>
      <c r="I146">
        <v>25967</v>
      </c>
      <c r="J146">
        <v>4133</v>
      </c>
      <c r="K146">
        <v>4531.45</v>
      </c>
      <c r="L146">
        <v>18233.66</v>
      </c>
      <c r="M146">
        <v>7.33</v>
      </c>
      <c r="N146">
        <v>15.92</v>
      </c>
      <c r="O146">
        <v>0.17</v>
      </c>
      <c r="P146">
        <v>1.1000000000000001</v>
      </c>
      <c r="Q146">
        <v>4.0199999999999996</v>
      </c>
      <c r="R146">
        <v>302.38</v>
      </c>
    </row>
    <row r="147" spans="1:18" x14ac:dyDescent="0.3">
      <c r="A147" t="s">
        <v>322</v>
      </c>
      <c r="B147" t="s">
        <v>323</v>
      </c>
      <c r="C147" t="s">
        <v>44</v>
      </c>
      <c r="D147" t="s">
        <v>30</v>
      </c>
      <c r="E147" t="s">
        <v>31</v>
      </c>
      <c r="F147" s="1">
        <v>45335</v>
      </c>
      <c r="G147" s="1">
        <v>45374</v>
      </c>
      <c r="H147">
        <v>129094</v>
      </c>
      <c r="I147">
        <v>4763</v>
      </c>
      <c r="J147">
        <v>146</v>
      </c>
      <c r="K147">
        <v>12637.09</v>
      </c>
      <c r="L147">
        <v>72893.23</v>
      </c>
      <c r="M147">
        <v>3.69</v>
      </c>
      <c r="N147">
        <v>3.08</v>
      </c>
      <c r="O147">
        <v>2.65</v>
      </c>
      <c r="P147">
        <v>86.56</v>
      </c>
      <c r="Q147">
        <v>5.77</v>
      </c>
      <c r="R147">
        <v>476.82</v>
      </c>
    </row>
    <row r="148" spans="1:18" x14ac:dyDescent="0.3">
      <c r="A148" t="s">
        <v>324</v>
      </c>
      <c r="B148" t="s">
        <v>325</v>
      </c>
      <c r="C148" t="s">
        <v>29</v>
      </c>
      <c r="D148" t="s">
        <v>21</v>
      </c>
      <c r="E148" t="s">
        <v>41</v>
      </c>
      <c r="F148" s="1">
        <v>45482</v>
      </c>
      <c r="G148" s="1">
        <v>45507</v>
      </c>
      <c r="H148">
        <v>420997</v>
      </c>
      <c r="I148">
        <v>11830</v>
      </c>
      <c r="J148">
        <v>496</v>
      </c>
      <c r="K148">
        <v>10841.22</v>
      </c>
      <c r="L148">
        <v>29426.95</v>
      </c>
      <c r="M148">
        <v>2.81</v>
      </c>
      <c r="N148">
        <v>4.2</v>
      </c>
      <c r="O148">
        <v>0.92</v>
      </c>
      <c r="P148">
        <v>21.86</v>
      </c>
      <c r="Q148">
        <v>2.71</v>
      </c>
      <c r="R148">
        <v>171.44</v>
      </c>
    </row>
    <row r="149" spans="1:18" x14ac:dyDescent="0.3">
      <c r="A149" t="s">
        <v>326</v>
      </c>
      <c r="B149" t="s">
        <v>327</v>
      </c>
      <c r="C149" t="s">
        <v>25</v>
      </c>
      <c r="D149" t="s">
        <v>30</v>
      </c>
      <c r="E149" t="s">
        <v>22</v>
      </c>
      <c r="F149" s="1">
        <v>45340</v>
      </c>
      <c r="G149" s="1">
        <v>45382</v>
      </c>
      <c r="H149">
        <v>405937</v>
      </c>
      <c r="I149">
        <v>7388</v>
      </c>
      <c r="J149">
        <v>777</v>
      </c>
      <c r="K149">
        <v>14356.89</v>
      </c>
      <c r="L149">
        <v>32972.080000000002</v>
      </c>
      <c r="M149">
        <v>1.82</v>
      </c>
      <c r="N149">
        <v>10.52</v>
      </c>
      <c r="O149">
        <v>1.94</v>
      </c>
      <c r="P149">
        <v>18.48</v>
      </c>
      <c r="Q149">
        <v>2.2999999999999998</v>
      </c>
      <c r="R149">
        <v>129.66</v>
      </c>
    </row>
    <row r="150" spans="1:18" x14ac:dyDescent="0.3">
      <c r="A150" t="s">
        <v>328</v>
      </c>
      <c r="B150" t="s">
        <v>329</v>
      </c>
      <c r="C150" t="s">
        <v>25</v>
      </c>
      <c r="D150" t="s">
        <v>57</v>
      </c>
      <c r="E150" t="s">
        <v>22</v>
      </c>
      <c r="F150" s="1">
        <v>45333</v>
      </c>
      <c r="G150" s="1">
        <v>45377</v>
      </c>
      <c r="H150">
        <v>429444</v>
      </c>
      <c r="I150">
        <v>9662</v>
      </c>
      <c r="J150">
        <v>1135</v>
      </c>
      <c r="K150">
        <v>13643.21</v>
      </c>
      <c r="L150">
        <v>36518.51</v>
      </c>
      <c r="M150">
        <v>2.25</v>
      </c>
      <c r="N150">
        <v>11.75</v>
      </c>
      <c r="O150">
        <v>1.41</v>
      </c>
      <c r="P150">
        <v>12.02</v>
      </c>
      <c r="Q150">
        <v>2.68</v>
      </c>
      <c r="R150">
        <v>167.67</v>
      </c>
    </row>
    <row r="151" spans="1:18" x14ac:dyDescent="0.3">
      <c r="A151" t="s">
        <v>330</v>
      </c>
      <c r="B151" t="s">
        <v>331</v>
      </c>
      <c r="C151" t="s">
        <v>29</v>
      </c>
      <c r="D151" t="s">
        <v>57</v>
      </c>
      <c r="E151" t="s">
        <v>22</v>
      </c>
      <c r="F151" s="1">
        <v>45450</v>
      </c>
      <c r="G151" s="1">
        <v>45492</v>
      </c>
      <c r="H151">
        <v>393961</v>
      </c>
      <c r="I151">
        <v>14182</v>
      </c>
      <c r="J151">
        <v>561</v>
      </c>
      <c r="K151">
        <v>11925.62</v>
      </c>
      <c r="L151">
        <v>74189.399999999994</v>
      </c>
      <c r="M151">
        <v>3.6</v>
      </c>
      <c r="N151">
        <v>3.96</v>
      </c>
      <c r="O151">
        <v>0.84</v>
      </c>
      <c r="P151">
        <v>21.26</v>
      </c>
      <c r="Q151">
        <v>6.22</v>
      </c>
      <c r="R151">
        <v>522.1</v>
      </c>
    </row>
    <row r="152" spans="1:18" x14ac:dyDescent="0.3">
      <c r="A152" t="s">
        <v>332</v>
      </c>
      <c r="B152" t="s">
        <v>333</v>
      </c>
      <c r="C152" t="s">
        <v>25</v>
      </c>
      <c r="D152" t="s">
        <v>57</v>
      </c>
      <c r="E152" t="s">
        <v>41</v>
      </c>
      <c r="F152" s="1">
        <v>45339</v>
      </c>
      <c r="G152" s="1">
        <v>45373</v>
      </c>
      <c r="H152">
        <v>401333</v>
      </c>
      <c r="I152">
        <v>7986</v>
      </c>
      <c r="J152">
        <v>928</v>
      </c>
      <c r="K152">
        <v>19954.63</v>
      </c>
      <c r="L152">
        <v>121843.29</v>
      </c>
      <c r="M152">
        <v>1.99</v>
      </c>
      <c r="N152">
        <v>11.63</v>
      </c>
      <c r="O152">
        <v>2.5</v>
      </c>
      <c r="P152">
        <v>21.5</v>
      </c>
      <c r="Q152">
        <v>6.11</v>
      </c>
      <c r="R152">
        <v>510.6</v>
      </c>
    </row>
    <row r="153" spans="1:18" x14ac:dyDescent="0.3">
      <c r="A153" t="s">
        <v>334</v>
      </c>
      <c r="B153" t="s">
        <v>335</v>
      </c>
      <c r="C153" t="s">
        <v>37</v>
      </c>
      <c r="D153" t="s">
        <v>57</v>
      </c>
      <c r="E153" t="s">
        <v>26</v>
      </c>
      <c r="F153" s="1">
        <v>45390</v>
      </c>
      <c r="G153" s="1">
        <v>45411</v>
      </c>
      <c r="H153">
        <v>240105</v>
      </c>
      <c r="I153">
        <v>14046</v>
      </c>
      <c r="J153">
        <v>2459</v>
      </c>
      <c r="K153">
        <v>2037.8</v>
      </c>
      <c r="L153">
        <v>11101.33</v>
      </c>
      <c r="M153">
        <v>5.85</v>
      </c>
      <c r="N153">
        <v>17.510000000000002</v>
      </c>
      <c r="O153">
        <v>0.15</v>
      </c>
      <c r="P153">
        <v>0.83</v>
      </c>
      <c r="Q153">
        <v>5.45</v>
      </c>
      <c r="R153">
        <v>444.77</v>
      </c>
    </row>
    <row r="154" spans="1:18" x14ac:dyDescent="0.3">
      <c r="A154" t="s">
        <v>336</v>
      </c>
      <c r="B154" t="s">
        <v>337</v>
      </c>
      <c r="C154" t="s">
        <v>29</v>
      </c>
      <c r="D154" t="s">
        <v>34</v>
      </c>
      <c r="E154" t="s">
        <v>26</v>
      </c>
      <c r="F154" s="1">
        <v>45561</v>
      </c>
      <c r="G154" s="1">
        <v>45570</v>
      </c>
      <c r="H154">
        <v>205080</v>
      </c>
      <c r="I154">
        <v>8264</v>
      </c>
      <c r="J154">
        <v>207</v>
      </c>
      <c r="K154">
        <v>14563.12</v>
      </c>
      <c r="L154">
        <v>83855.02</v>
      </c>
      <c r="M154">
        <v>4.03</v>
      </c>
      <c r="N154">
        <v>2.5099999999999998</v>
      </c>
      <c r="O154">
        <v>1.76</v>
      </c>
      <c r="P154">
        <v>70.349999999999994</v>
      </c>
      <c r="Q154">
        <v>5.76</v>
      </c>
      <c r="R154">
        <v>475.8</v>
      </c>
    </row>
    <row r="155" spans="1:18" x14ac:dyDescent="0.3">
      <c r="A155" t="s">
        <v>338</v>
      </c>
      <c r="B155" t="s">
        <v>339</v>
      </c>
      <c r="C155" t="s">
        <v>44</v>
      </c>
      <c r="D155" t="s">
        <v>34</v>
      </c>
      <c r="E155" t="s">
        <v>31</v>
      </c>
      <c r="F155" s="1">
        <v>45376</v>
      </c>
      <c r="G155" s="1">
        <v>45411</v>
      </c>
      <c r="H155">
        <v>247509</v>
      </c>
      <c r="I155">
        <v>3960</v>
      </c>
      <c r="J155">
        <v>84</v>
      </c>
      <c r="K155">
        <v>11160.57</v>
      </c>
      <c r="L155">
        <v>53697.21</v>
      </c>
      <c r="M155">
        <v>1.6</v>
      </c>
      <c r="N155">
        <v>2.13</v>
      </c>
      <c r="O155">
        <v>2.82</v>
      </c>
      <c r="P155">
        <v>132.86000000000001</v>
      </c>
      <c r="Q155">
        <v>4.8099999999999996</v>
      </c>
      <c r="R155">
        <v>381.13</v>
      </c>
    </row>
    <row r="156" spans="1:18" x14ac:dyDescent="0.3">
      <c r="A156" t="s">
        <v>340</v>
      </c>
      <c r="B156" t="s">
        <v>341</v>
      </c>
      <c r="C156" t="s">
        <v>20</v>
      </c>
      <c r="D156" t="s">
        <v>30</v>
      </c>
      <c r="E156" t="s">
        <v>22</v>
      </c>
      <c r="F156" s="1">
        <v>45521</v>
      </c>
      <c r="G156" s="1">
        <v>45542</v>
      </c>
      <c r="H156">
        <v>404608</v>
      </c>
      <c r="I156">
        <v>21767</v>
      </c>
      <c r="J156">
        <v>2137</v>
      </c>
      <c r="K156">
        <v>17211.91</v>
      </c>
      <c r="L156">
        <v>92699.22</v>
      </c>
      <c r="M156">
        <v>5.38</v>
      </c>
      <c r="N156">
        <v>9.82</v>
      </c>
      <c r="O156">
        <v>0.79</v>
      </c>
      <c r="P156">
        <v>8.0500000000000007</v>
      </c>
      <c r="Q156">
        <v>5.39</v>
      </c>
      <c r="R156">
        <v>438.58</v>
      </c>
    </row>
    <row r="157" spans="1:18" x14ac:dyDescent="0.3">
      <c r="A157" t="s">
        <v>342</v>
      </c>
      <c r="B157" t="s">
        <v>343</v>
      </c>
      <c r="C157" t="s">
        <v>37</v>
      </c>
      <c r="D157" t="s">
        <v>34</v>
      </c>
      <c r="E157" t="s">
        <v>22</v>
      </c>
      <c r="F157" s="1">
        <v>45584</v>
      </c>
      <c r="G157" s="1">
        <v>45619</v>
      </c>
      <c r="H157">
        <v>473951</v>
      </c>
      <c r="I157">
        <v>41281</v>
      </c>
      <c r="J157">
        <v>7034</v>
      </c>
      <c r="K157">
        <v>1373.07</v>
      </c>
      <c r="L157">
        <v>6937.27</v>
      </c>
      <c r="M157">
        <v>8.7100000000000009</v>
      </c>
      <c r="N157">
        <v>17.04</v>
      </c>
      <c r="O157">
        <v>0.03</v>
      </c>
      <c r="P157">
        <v>0.2</v>
      </c>
      <c r="Q157">
        <v>5.05</v>
      </c>
      <c r="R157">
        <v>405.24</v>
      </c>
    </row>
    <row r="158" spans="1:18" x14ac:dyDescent="0.3">
      <c r="A158" t="s">
        <v>344</v>
      </c>
      <c r="B158" t="s">
        <v>345</v>
      </c>
      <c r="C158" t="s">
        <v>25</v>
      </c>
      <c r="D158" t="s">
        <v>57</v>
      </c>
      <c r="E158" t="s">
        <v>38</v>
      </c>
      <c r="F158" s="1">
        <v>45362</v>
      </c>
      <c r="G158" s="1">
        <v>45385</v>
      </c>
      <c r="H158">
        <v>313667</v>
      </c>
      <c r="I158">
        <v>5332</v>
      </c>
      <c r="J158">
        <v>627</v>
      </c>
      <c r="K158">
        <v>17070.259999999998</v>
      </c>
      <c r="L158">
        <v>95690.18</v>
      </c>
      <c r="M158">
        <v>1.7</v>
      </c>
      <c r="N158">
        <v>11.76</v>
      </c>
      <c r="O158">
        <v>3.2</v>
      </c>
      <c r="P158">
        <v>27.23</v>
      </c>
      <c r="Q158">
        <v>5.61</v>
      </c>
      <c r="R158">
        <v>460.57</v>
      </c>
    </row>
    <row r="159" spans="1:18" x14ac:dyDescent="0.3">
      <c r="A159" t="s">
        <v>346</v>
      </c>
      <c r="B159" t="s">
        <v>347</v>
      </c>
      <c r="C159" t="s">
        <v>20</v>
      </c>
      <c r="D159" t="s">
        <v>30</v>
      </c>
      <c r="E159" t="s">
        <v>22</v>
      </c>
      <c r="F159" s="1">
        <v>45334</v>
      </c>
      <c r="G159" s="1">
        <v>45351</v>
      </c>
      <c r="H159">
        <v>340739</v>
      </c>
      <c r="I159">
        <v>21262</v>
      </c>
      <c r="J159">
        <v>1758</v>
      </c>
      <c r="K159">
        <v>15318.19</v>
      </c>
      <c r="L159">
        <v>39230.65</v>
      </c>
      <c r="M159">
        <v>6.24</v>
      </c>
      <c r="N159">
        <v>8.27</v>
      </c>
      <c r="O159">
        <v>0.72</v>
      </c>
      <c r="P159">
        <v>8.7100000000000009</v>
      </c>
      <c r="Q159">
        <v>2.56</v>
      </c>
      <c r="R159">
        <v>156.1</v>
      </c>
    </row>
    <row r="160" spans="1:18" x14ac:dyDescent="0.3">
      <c r="A160" t="s">
        <v>348</v>
      </c>
      <c r="B160" t="s">
        <v>349</v>
      </c>
      <c r="C160" t="s">
        <v>44</v>
      </c>
      <c r="D160" t="s">
        <v>30</v>
      </c>
      <c r="E160" t="s">
        <v>31</v>
      </c>
      <c r="F160" s="1">
        <v>45470</v>
      </c>
      <c r="G160" s="1">
        <v>45478</v>
      </c>
      <c r="H160">
        <v>127253</v>
      </c>
      <c r="I160">
        <v>4275</v>
      </c>
      <c r="J160">
        <v>77</v>
      </c>
      <c r="K160">
        <v>13881.31</v>
      </c>
      <c r="L160">
        <v>78778.720000000001</v>
      </c>
      <c r="M160">
        <v>3.36</v>
      </c>
      <c r="N160">
        <v>1.82</v>
      </c>
      <c r="O160">
        <v>3.25</v>
      </c>
      <c r="P160">
        <v>180.28</v>
      </c>
      <c r="Q160">
        <v>5.68</v>
      </c>
      <c r="R160">
        <v>467.52</v>
      </c>
    </row>
    <row r="161" spans="1:18" x14ac:dyDescent="0.3">
      <c r="A161" t="s">
        <v>350</v>
      </c>
      <c r="B161" t="s">
        <v>351</v>
      </c>
      <c r="C161" t="s">
        <v>25</v>
      </c>
      <c r="D161" t="s">
        <v>21</v>
      </c>
      <c r="E161" t="s">
        <v>38</v>
      </c>
      <c r="F161" s="1">
        <v>45455</v>
      </c>
      <c r="G161" s="1">
        <v>45468</v>
      </c>
      <c r="H161">
        <v>313196</v>
      </c>
      <c r="I161">
        <v>4510</v>
      </c>
      <c r="J161">
        <v>347</v>
      </c>
      <c r="K161">
        <v>5305.69</v>
      </c>
      <c r="L161">
        <v>15972.38</v>
      </c>
      <c r="M161">
        <v>1.44</v>
      </c>
      <c r="N161">
        <v>7.7</v>
      </c>
      <c r="O161">
        <v>1.18</v>
      </c>
      <c r="P161">
        <v>15.29</v>
      </c>
      <c r="Q161">
        <v>3.01</v>
      </c>
      <c r="R161">
        <v>201.04</v>
      </c>
    </row>
    <row r="162" spans="1:18" x14ac:dyDescent="0.3">
      <c r="A162" t="s">
        <v>352</v>
      </c>
      <c r="B162" t="s">
        <v>353</v>
      </c>
      <c r="C162" t="s">
        <v>44</v>
      </c>
      <c r="D162" t="s">
        <v>34</v>
      </c>
      <c r="E162" t="s">
        <v>41</v>
      </c>
      <c r="F162" s="1">
        <v>45532</v>
      </c>
      <c r="G162" s="1">
        <v>45567</v>
      </c>
      <c r="H162">
        <v>70081</v>
      </c>
      <c r="I162">
        <v>1366</v>
      </c>
      <c r="J162">
        <v>60</v>
      </c>
      <c r="K162">
        <v>11200.9</v>
      </c>
      <c r="L162">
        <v>29397.51</v>
      </c>
      <c r="M162">
        <v>1.95</v>
      </c>
      <c r="N162">
        <v>4.4000000000000004</v>
      </c>
      <c r="O162">
        <v>8.1999999999999993</v>
      </c>
      <c r="P162">
        <v>186.68</v>
      </c>
      <c r="Q162">
        <v>2.62</v>
      </c>
      <c r="R162">
        <v>162.46</v>
      </c>
    </row>
    <row r="163" spans="1:18" x14ac:dyDescent="0.3">
      <c r="A163" t="s">
        <v>354</v>
      </c>
      <c r="B163" t="s">
        <v>355</v>
      </c>
      <c r="C163" t="s">
        <v>37</v>
      </c>
      <c r="D163" t="s">
        <v>21</v>
      </c>
      <c r="E163" t="s">
        <v>26</v>
      </c>
      <c r="F163" s="1">
        <v>45562</v>
      </c>
      <c r="G163" s="1">
        <v>45596</v>
      </c>
      <c r="H163">
        <v>59963</v>
      </c>
      <c r="I163">
        <v>3321</v>
      </c>
      <c r="J163">
        <v>542</v>
      </c>
      <c r="K163">
        <v>2969.62</v>
      </c>
      <c r="L163">
        <v>15657.49</v>
      </c>
      <c r="M163">
        <v>5.54</v>
      </c>
      <c r="N163">
        <v>16.350000000000001</v>
      </c>
      <c r="O163">
        <v>0.89</v>
      </c>
      <c r="P163">
        <v>5.48</v>
      </c>
      <c r="Q163">
        <v>5.27</v>
      </c>
      <c r="R163">
        <v>427.26</v>
      </c>
    </row>
    <row r="164" spans="1:18" x14ac:dyDescent="0.3">
      <c r="A164" t="s">
        <v>356</v>
      </c>
      <c r="B164" t="s">
        <v>357</v>
      </c>
      <c r="C164" t="s">
        <v>20</v>
      </c>
      <c r="D164" t="s">
        <v>57</v>
      </c>
      <c r="E164" t="s">
        <v>41</v>
      </c>
      <c r="F164" s="1">
        <v>45324</v>
      </c>
      <c r="G164" s="1">
        <v>45338</v>
      </c>
      <c r="H164">
        <v>207889</v>
      </c>
      <c r="I164">
        <v>6215</v>
      </c>
      <c r="J164">
        <v>337</v>
      </c>
      <c r="K164">
        <v>17779.03</v>
      </c>
      <c r="L164">
        <v>85386.42</v>
      </c>
      <c r="M164">
        <v>2.99</v>
      </c>
      <c r="N164">
        <v>5.43</v>
      </c>
      <c r="O164">
        <v>2.86</v>
      </c>
      <c r="P164">
        <v>52.76</v>
      </c>
      <c r="Q164">
        <v>4.8</v>
      </c>
      <c r="R164">
        <v>380.26</v>
      </c>
    </row>
    <row r="165" spans="1:18" x14ac:dyDescent="0.3">
      <c r="A165" t="s">
        <v>358</v>
      </c>
      <c r="B165" t="s">
        <v>359</v>
      </c>
      <c r="C165" t="s">
        <v>25</v>
      </c>
      <c r="D165" t="s">
        <v>21</v>
      </c>
      <c r="E165" t="s">
        <v>31</v>
      </c>
      <c r="F165" s="1">
        <v>45415</v>
      </c>
      <c r="G165" s="1">
        <v>45458</v>
      </c>
      <c r="H165">
        <v>351490</v>
      </c>
      <c r="I165">
        <v>4253</v>
      </c>
      <c r="J165">
        <v>255</v>
      </c>
      <c r="K165">
        <v>10867.82</v>
      </c>
      <c r="L165">
        <v>51803.02</v>
      </c>
      <c r="M165">
        <v>1.21</v>
      </c>
      <c r="N165">
        <v>6.01</v>
      </c>
      <c r="O165">
        <v>2.56</v>
      </c>
      <c r="P165">
        <v>42.62</v>
      </c>
      <c r="Q165">
        <v>4.7699999999999996</v>
      </c>
      <c r="R165">
        <v>376.66</v>
      </c>
    </row>
    <row r="166" spans="1:18" x14ac:dyDescent="0.3">
      <c r="A166" t="s">
        <v>360</v>
      </c>
      <c r="B166" t="s">
        <v>361</v>
      </c>
      <c r="C166" t="s">
        <v>25</v>
      </c>
      <c r="D166" t="s">
        <v>34</v>
      </c>
      <c r="E166" t="s">
        <v>26</v>
      </c>
      <c r="F166" s="1">
        <v>45551</v>
      </c>
      <c r="G166" s="1">
        <v>45593</v>
      </c>
      <c r="H166">
        <v>324456</v>
      </c>
      <c r="I166">
        <v>7981</v>
      </c>
      <c r="J166">
        <v>436</v>
      </c>
      <c r="K166">
        <v>12416.95</v>
      </c>
      <c r="L166">
        <v>53181.48</v>
      </c>
      <c r="M166">
        <v>2.46</v>
      </c>
      <c r="N166">
        <v>5.47</v>
      </c>
      <c r="O166">
        <v>1.56</v>
      </c>
      <c r="P166">
        <v>28.48</v>
      </c>
      <c r="Q166">
        <v>4.28</v>
      </c>
      <c r="R166">
        <v>328.3</v>
      </c>
    </row>
    <row r="167" spans="1:18" x14ac:dyDescent="0.3">
      <c r="A167" t="s">
        <v>362</v>
      </c>
      <c r="B167" t="s">
        <v>363</v>
      </c>
      <c r="C167" t="s">
        <v>20</v>
      </c>
      <c r="D167" t="s">
        <v>30</v>
      </c>
      <c r="E167" t="s">
        <v>38</v>
      </c>
      <c r="F167" s="1">
        <v>45326</v>
      </c>
      <c r="G167" s="1">
        <v>45355</v>
      </c>
      <c r="H167">
        <v>72824</v>
      </c>
      <c r="I167">
        <v>3670</v>
      </c>
      <c r="J167">
        <v>362</v>
      </c>
      <c r="K167">
        <v>10073.01</v>
      </c>
      <c r="L167">
        <v>20882.259999999998</v>
      </c>
      <c r="M167">
        <v>5.04</v>
      </c>
      <c r="N167">
        <v>9.89</v>
      </c>
      <c r="O167">
        <v>2.74</v>
      </c>
      <c r="P167">
        <v>27.83</v>
      </c>
      <c r="Q167">
        <v>2.0699999999999998</v>
      </c>
      <c r="R167">
        <v>107.31</v>
      </c>
    </row>
    <row r="168" spans="1:18" x14ac:dyDescent="0.3">
      <c r="A168" t="s">
        <v>364</v>
      </c>
      <c r="B168" t="s">
        <v>365</v>
      </c>
      <c r="C168" t="s">
        <v>29</v>
      </c>
      <c r="D168" t="s">
        <v>21</v>
      </c>
      <c r="E168" t="s">
        <v>31</v>
      </c>
      <c r="F168" s="1">
        <v>45621</v>
      </c>
      <c r="G168" s="1">
        <v>45639</v>
      </c>
      <c r="H168">
        <v>435449</v>
      </c>
      <c r="I168">
        <v>16416</v>
      </c>
      <c r="J168">
        <v>438</v>
      </c>
      <c r="K168">
        <v>8284.49</v>
      </c>
      <c r="L168">
        <v>29190.09</v>
      </c>
      <c r="M168">
        <v>3.77</v>
      </c>
      <c r="N168">
        <v>2.67</v>
      </c>
      <c r="O168">
        <v>0.5</v>
      </c>
      <c r="P168">
        <v>18.91</v>
      </c>
      <c r="Q168">
        <v>3.52</v>
      </c>
      <c r="R168">
        <v>252.35</v>
      </c>
    </row>
    <row r="169" spans="1:18" x14ac:dyDescent="0.3">
      <c r="A169" t="s">
        <v>366</v>
      </c>
      <c r="B169" t="s">
        <v>367</v>
      </c>
      <c r="C169" t="s">
        <v>25</v>
      </c>
      <c r="D169" t="s">
        <v>30</v>
      </c>
      <c r="E169" t="s">
        <v>41</v>
      </c>
      <c r="F169" s="1">
        <v>45395</v>
      </c>
      <c r="G169" s="1">
        <v>45404</v>
      </c>
      <c r="H169">
        <v>475458</v>
      </c>
      <c r="I169">
        <v>4897</v>
      </c>
      <c r="J169">
        <v>490</v>
      </c>
      <c r="K169">
        <v>19097.68</v>
      </c>
      <c r="L169">
        <v>41373.730000000003</v>
      </c>
      <c r="M169">
        <v>1.03</v>
      </c>
      <c r="N169">
        <v>10.01</v>
      </c>
      <c r="O169">
        <v>3.9</v>
      </c>
      <c r="P169">
        <v>38.97</v>
      </c>
      <c r="Q169">
        <v>2.17</v>
      </c>
      <c r="R169">
        <v>116.64</v>
      </c>
    </row>
    <row r="170" spans="1:18" x14ac:dyDescent="0.3">
      <c r="A170" t="s">
        <v>368</v>
      </c>
      <c r="B170" t="s">
        <v>369</v>
      </c>
      <c r="C170" t="s">
        <v>29</v>
      </c>
      <c r="D170" t="s">
        <v>21</v>
      </c>
      <c r="E170" t="s">
        <v>22</v>
      </c>
      <c r="F170" s="1">
        <v>45389</v>
      </c>
      <c r="G170" s="1">
        <v>45414</v>
      </c>
      <c r="H170">
        <v>212569</v>
      </c>
      <c r="I170">
        <v>6483</v>
      </c>
      <c r="J170">
        <v>450</v>
      </c>
      <c r="K170">
        <v>11145.46</v>
      </c>
      <c r="L170">
        <v>34995.760000000002</v>
      </c>
      <c r="M170">
        <v>3.05</v>
      </c>
      <c r="N170">
        <v>6.95</v>
      </c>
      <c r="O170">
        <v>1.72</v>
      </c>
      <c r="P170">
        <v>24.77</v>
      </c>
      <c r="Q170">
        <v>3.14</v>
      </c>
      <c r="R170">
        <v>213.99</v>
      </c>
    </row>
    <row r="171" spans="1:18" x14ac:dyDescent="0.3">
      <c r="A171" t="s">
        <v>370</v>
      </c>
      <c r="B171" t="s">
        <v>371</v>
      </c>
      <c r="C171" t="s">
        <v>44</v>
      </c>
      <c r="D171" t="s">
        <v>21</v>
      </c>
      <c r="E171" t="s">
        <v>22</v>
      </c>
      <c r="F171" s="1">
        <v>45489</v>
      </c>
      <c r="G171" s="1">
        <v>45517</v>
      </c>
      <c r="H171">
        <v>193244</v>
      </c>
      <c r="I171">
        <v>2937</v>
      </c>
      <c r="J171">
        <v>81</v>
      </c>
      <c r="K171">
        <v>13618.58</v>
      </c>
      <c r="L171">
        <v>72789.740000000005</v>
      </c>
      <c r="M171">
        <v>1.52</v>
      </c>
      <c r="N171">
        <v>2.79</v>
      </c>
      <c r="O171">
        <v>4.6399999999999997</v>
      </c>
      <c r="P171">
        <v>168.13</v>
      </c>
      <c r="Q171">
        <v>5.34</v>
      </c>
      <c r="R171">
        <v>434.49</v>
      </c>
    </row>
    <row r="172" spans="1:18" x14ac:dyDescent="0.3">
      <c r="A172" t="s">
        <v>372</v>
      </c>
      <c r="B172" t="s">
        <v>373</v>
      </c>
      <c r="C172" t="s">
        <v>29</v>
      </c>
      <c r="D172" t="s">
        <v>30</v>
      </c>
      <c r="E172" t="s">
        <v>38</v>
      </c>
      <c r="F172" s="1">
        <v>45332</v>
      </c>
      <c r="G172" s="1">
        <v>45366</v>
      </c>
      <c r="H172">
        <v>242595</v>
      </c>
      <c r="I172">
        <v>10358</v>
      </c>
      <c r="J172">
        <v>476</v>
      </c>
      <c r="K172">
        <v>15017.22</v>
      </c>
      <c r="L172">
        <v>79168.77</v>
      </c>
      <c r="M172">
        <v>4.2699999999999996</v>
      </c>
      <c r="N172">
        <v>4.5999999999999996</v>
      </c>
      <c r="O172">
        <v>1.45</v>
      </c>
      <c r="P172">
        <v>31.55</v>
      </c>
      <c r="Q172">
        <v>5.27</v>
      </c>
      <c r="R172">
        <v>427.19</v>
      </c>
    </row>
    <row r="173" spans="1:18" x14ac:dyDescent="0.3">
      <c r="A173" t="s">
        <v>374</v>
      </c>
      <c r="B173" t="s">
        <v>375</v>
      </c>
      <c r="C173" t="s">
        <v>37</v>
      </c>
      <c r="D173" t="s">
        <v>34</v>
      </c>
      <c r="E173" t="s">
        <v>31</v>
      </c>
      <c r="F173" s="1">
        <v>45600</v>
      </c>
      <c r="G173" s="1">
        <v>45634</v>
      </c>
      <c r="H173">
        <v>204018</v>
      </c>
      <c r="I173">
        <v>12098</v>
      </c>
      <c r="J173">
        <v>1064</v>
      </c>
      <c r="K173">
        <v>3474.14</v>
      </c>
      <c r="L173">
        <v>11739.92</v>
      </c>
      <c r="M173">
        <v>5.93</v>
      </c>
      <c r="N173">
        <v>8.8000000000000007</v>
      </c>
      <c r="O173">
        <v>0.28999999999999998</v>
      </c>
      <c r="P173">
        <v>3.27</v>
      </c>
      <c r="Q173">
        <v>3.38</v>
      </c>
      <c r="R173">
        <v>237.92</v>
      </c>
    </row>
    <row r="174" spans="1:18" x14ac:dyDescent="0.3">
      <c r="A174" t="s">
        <v>376</v>
      </c>
      <c r="B174" t="s">
        <v>377</v>
      </c>
      <c r="C174" t="s">
        <v>29</v>
      </c>
      <c r="D174" t="s">
        <v>30</v>
      </c>
      <c r="E174" t="s">
        <v>22</v>
      </c>
      <c r="F174" s="1">
        <v>45432</v>
      </c>
      <c r="G174" s="1">
        <v>45442</v>
      </c>
      <c r="H174">
        <v>284424</v>
      </c>
      <c r="I174">
        <v>4636</v>
      </c>
      <c r="J174">
        <v>294</v>
      </c>
      <c r="K174">
        <v>8288.39</v>
      </c>
      <c r="L174">
        <v>53805.56</v>
      </c>
      <c r="M174">
        <v>1.63</v>
      </c>
      <c r="N174">
        <v>6.35</v>
      </c>
      <c r="O174">
        <v>1.79</v>
      </c>
      <c r="P174">
        <v>28.19</v>
      </c>
      <c r="Q174">
        <v>6.49</v>
      </c>
      <c r="R174">
        <v>549.16999999999996</v>
      </c>
    </row>
    <row r="175" spans="1:18" x14ac:dyDescent="0.3">
      <c r="A175" t="s">
        <v>378</v>
      </c>
      <c r="B175" t="s">
        <v>379</v>
      </c>
      <c r="C175" t="s">
        <v>20</v>
      </c>
      <c r="D175" t="s">
        <v>30</v>
      </c>
      <c r="E175" t="s">
        <v>22</v>
      </c>
      <c r="F175" s="1">
        <v>45603</v>
      </c>
      <c r="G175" s="1">
        <v>45638</v>
      </c>
      <c r="H175">
        <v>319004</v>
      </c>
      <c r="I175">
        <v>18183</v>
      </c>
      <c r="J175">
        <v>1469</v>
      </c>
      <c r="K175">
        <v>24055.79</v>
      </c>
      <c r="L175">
        <v>63567.61</v>
      </c>
      <c r="M175">
        <v>5.7</v>
      </c>
      <c r="N175">
        <v>8.08</v>
      </c>
      <c r="O175">
        <v>1.32</v>
      </c>
      <c r="P175">
        <v>16.38</v>
      </c>
      <c r="Q175">
        <v>2.64</v>
      </c>
      <c r="R175">
        <v>164.25</v>
      </c>
    </row>
    <row r="176" spans="1:18" x14ac:dyDescent="0.3">
      <c r="A176" t="s">
        <v>380</v>
      </c>
      <c r="B176" t="s">
        <v>381</v>
      </c>
      <c r="C176" t="s">
        <v>20</v>
      </c>
      <c r="D176" t="s">
        <v>34</v>
      </c>
      <c r="E176" t="s">
        <v>26</v>
      </c>
      <c r="F176" s="1">
        <v>45601</v>
      </c>
      <c r="G176" s="1">
        <v>45617</v>
      </c>
      <c r="H176">
        <v>173729</v>
      </c>
      <c r="I176">
        <v>9746</v>
      </c>
      <c r="J176">
        <v>604</v>
      </c>
      <c r="K176">
        <v>12657.09</v>
      </c>
      <c r="L176">
        <v>57622.68</v>
      </c>
      <c r="M176">
        <v>5.61</v>
      </c>
      <c r="N176">
        <v>6.2</v>
      </c>
      <c r="O176">
        <v>1.3</v>
      </c>
      <c r="P176">
        <v>20.96</v>
      </c>
      <c r="Q176">
        <v>4.55</v>
      </c>
      <c r="R176">
        <v>355.26</v>
      </c>
    </row>
    <row r="177" spans="1:18" x14ac:dyDescent="0.3">
      <c r="A177" t="s">
        <v>382</v>
      </c>
      <c r="B177" t="s">
        <v>383</v>
      </c>
      <c r="C177" t="s">
        <v>25</v>
      </c>
      <c r="D177" t="s">
        <v>57</v>
      </c>
      <c r="E177" t="s">
        <v>22</v>
      </c>
      <c r="F177" s="1">
        <v>45434</v>
      </c>
      <c r="G177" s="1">
        <v>45456</v>
      </c>
      <c r="H177">
        <v>282752</v>
      </c>
      <c r="I177">
        <v>5937</v>
      </c>
      <c r="J177">
        <v>535</v>
      </c>
      <c r="K177">
        <v>12471.36</v>
      </c>
      <c r="L177">
        <v>47280.84</v>
      </c>
      <c r="M177">
        <v>2.1</v>
      </c>
      <c r="N177">
        <v>9.02</v>
      </c>
      <c r="O177">
        <v>2.1</v>
      </c>
      <c r="P177">
        <v>23.31</v>
      </c>
      <c r="Q177">
        <v>3.79</v>
      </c>
      <c r="R177">
        <v>279.12</v>
      </c>
    </row>
    <row r="178" spans="1:18" x14ac:dyDescent="0.3">
      <c r="A178" t="s">
        <v>384</v>
      </c>
      <c r="B178" t="s">
        <v>385</v>
      </c>
      <c r="C178" t="s">
        <v>20</v>
      </c>
      <c r="D178" t="s">
        <v>21</v>
      </c>
      <c r="E178" t="s">
        <v>41</v>
      </c>
      <c r="F178" s="1">
        <v>45520</v>
      </c>
      <c r="G178" s="1">
        <v>45540</v>
      </c>
      <c r="H178">
        <v>311642</v>
      </c>
      <c r="I178">
        <v>14242</v>
      </c>
      <c r="J178">
        <v>1350</v>
      </c>
      <c r="K178">
        <v>7355.22</v>
      </c>
      <c r="L178">
        <v>40360.589999999997</v>
      </c>
      <c r="M178">
        <v>4.57</v>
      </c>
      <c r="N178">
        <v>9.48</v>
      </c>
      <c r="O178">
        <v>0.52</v>
      </c>
      <c r="P178">
        <v>5.45</v>
      </c>
      <c r="Q178">
        <v>5.49</v>
      </c>
      <c r="R178">
        <v>448.73</v>
      </c>
    </row>
    <row r="179" spans="1:18" x14ac:dyDescent="0.3">
      <c r="A179" t="s">
        <v>386</v>
      </c>
      <c r="B179" t="s">
        <v>387</v>
      </c>
      <c r="C179" t="s">
        <v>37</v>
      </c>
      <c r="D179" t="s">
        <v>57</v>
      </c>
      <c r="E179" t="s">
        <v>38</v>
      </c>
      <c r="F179" s="1">
        <v>45519</v>
      </c>
      <c r="G179" s="1">
        <v>45531</v>
      </c>
      <c r="H179">
        <v>154951</v>
      </c>
      <c r="I179">
        <v>7344</v>
      </c>
      <c r="J179">
        <v>1213</v>
      </c>
      <c r="K179">
        <v>2534.19</v>
      </c>
      <c r="L179">
        <v>15316.79</v>
      </c>
      <c r="M179">
        <v>4.74</v>
      </c>
      <c r="N179">
        <v>16.53</v>
      </c>
      <c r="O179">
        <v>0.35</v>
      </c>
      <c r="P179">
        <v>2.09</v>
      </c>
      <c r="Q179">
        <v>6.04</v>
      </c>
      <c r="R179">
        <v>504.41</v>
      </c>
    </row>
    <row r="180" spans="1:18" x14ac:dyDescent="0.3">
      <c r="A180" t="s">
        <v>388</v>
      </c>
      <c r="B180" t="s">
        <v>389</v>
      </c>
      <c r="C180" t="s">
        <v>44</v>
      </c>
      <c r="D180" t="s">
        <v>57</v>
      </c>
      <c r="E180" t="s">
        <v>26</v>
      </c>
      <c r="F180" s="1">
        <v>45618</v>
      </c>
      <c r="G180" s="1">
        <v>45636</v>
      </c>
      <c r="H180">
        <v>338356</v>
      </c>
      <c r="I180">
        <v>8831</v>
      </c>
      <c r="J180">
        <v>407</v>
      </c>
      <c r="K180">
        <v>13142.03</v>
      </c>
      <c r="L180">
        <v>68379.83</v>
      </c>
      <c r="M180">
        <v>2.61</v>
      </c>
      <c r="N180">
        <v>4.62</v>
      </c>
      <c r="O180">
        <v>1.49</v>
      </c>
      <c r="P180">
        <v>32.29</v>
      </c>
      <c r="Q180">
        <v>5.2</v>
      </c>
      <c r="R180">
        <v>420.31</v>
      </c>
    </row>
    <row r="181" spans="1:18" x14ac:dyDescent="0.3">
      <c r="A181" t="s">
        <v>390</v>
      </c>
      <c r="B181" t="s">
        <v>391</v>
      </c>
      <c r="C181" t="s">
        <v>44</v>
      </c>
      <c r="D181" t="s">
        <v>34</v>
      </c>
      <c r="E181" t="s">
        <v>26</v>
      </c>
      <c r="F181" s="1">
        <v>45585</v>
      </c>
      <c r="G181" s="1">
        <v>45615</v>
      </c>
      <c r="H181">
        <v>155371</v>
      </c>
      <c r="I181">
        <v>5065</v>
      </c>
      <c r="J181">
        <v>118</v>
      </c>
      <c r="K181">
        <v>8675.27</v>
      </c>
      <c r="L181">
        <v>31439.48</v>
      </c>
      <c r="M181">
        <v>3.26</v>
      </c>
      <c r="N181">
        <v>2.33</v>
      </c>
      <c r="O181">
        <v>1.71</v>
      </c>
      <c r="P181">
        <v>73.52</v>
      </c>
      <c r="Q181">
        <v>3.62</v>
      </c>
      <c r="R181">
        <v>262.39999999999998</v>
      </c>
    </row>
    <row r="182" spans="1:18" x14ac:dyDescent="0.3">
      <c r="A182" t="s">
        <v>392</v>
      </c>
      <c r="B182" t="s">
        <v>393</v>
      </c>
      <c r="C182" t="s">
        <v>25</v>
      </c>
      <c r="D182" t="s">
        <v>34</v>
      </c>
      <c r="E182" t="s">
        <v>31</v>
      </c>
      <c r="F182" s="1">
        <v>45502</v>
      </c>
      <c r="G182" s="1">
        <v>45535</v>
      </c>
      <c r="H182">
        <v>95201</v>
      </c>
      <c r="I182">
        <v>866</v>
      </c>
      <c r="J182">
        <v>67</v>
      </c>
      <c r="K182">
        <v>15470.94</v>
      </c>
      <c r="L182">
        <v>64266.18</v>
      </c>
      <c r="M182">
        <v>0.91</v>
      </c>
      <c r="N182">
        <v>7.79</v>
      </c>
      <c r="O182">
        <v>17.86</v>
      </c>
      <c r="P182">
        <v>230.91</v>
      </c>
      <c r="Q182">
        <v>4.1500000000000004</v>
      </c>
      <c r="R182">
        <v>315.39999999999998</v>
      </c>
    </row>
    <row r="183" spans="1:18" x14ac:dyDescent="0.3">
      <c r="A183" t="s">
        <v>394</v>
      </c>
      <c r="B183" t="s">
        <v>395</v>
      </c>
      <c r="C183" t="s">
        <v>37</v>
      </c>
      <c r="D183" t="s">
        <v>21</v>
      </c>
      <c r="E183" t="s">
        <v>41</v>
      </c>
      <c r="F183" s="1">
        <v>45574</v>
      </c>
      <c r="G183" s="1">
        <v>45618</v>
      </c>
      <c r="H183">
        <v>216213</v>
      </c>
      <c r="I183">
        <v>16972</v>
      </c>
      <c r="J183">
        <v>2121</v>
      </c>
      <c r="K183">
        <v>3560.49</v>
      </c>
      <c r="L183">
        <v>12640.87</v>
      </c>
      <c r="M183">
        <v>7.85</v>
      </c>
      <c r="N183">
        <v>12.5</v>
      </c>
      <c r="O183">
        <v>0.21</v>
      </c>
      <c r="P183">
        <v>1.68</v>
      </c>
      <c r="Q183">
        <v>3.55</v>
      </c>
      <c r="R183">
        <v>255.03</v>
      </c>
    </row>
    <row r="184" spans="1:18" x14ac:dyDescent="0.3">
      <c r="A184" t="s">
        <v>396</v>
      </c>
      <c r="B184" t="s">
        <v>397</v>
      </c>
      <c r="C184" t="s">
        <v>29</v>
      </c>
      <c r="D184" t="s">
        <v>34</v>
      </c>
      <c r="E184" t="s">
        <v>38</v>
      </c>
      <c r="F184" s="1">
        <v>45376</v>
      </c>
      <c r="G184" s="1">
        <v>45393</v>
      </c>
      <c r="H184">
        <v>313645</v>
      </c>
      <c r="I184">
        <v>13267</v>
      </c>
      <c r="J184">
        <v>302</v>
      </c>
      <c r="K184">
        <v>4862.42</v>
      </c>
      <c r="L184">
        <v>13072.95</v>
      </c>
      <c r="M184">
        <v>4.2300000000000004</v>
      </c>
      <c r="N184">
        <v>2.2799999999999998</v>
      </c>
      <c r="O184">
        <v>0.37</v>
      </c>
      <c r="P184">
        <v>16.100000000000001</v>
      </c>
      <c r="Q184">
        <v>2.69</v>
      </c>
      <c r="R184">
        <v>168.86</v>
      </c>
    </row>
    <row r="185" spans="1:18" x14ac:dyDescent="0.3">
      <c r="A185" t="s">
        <v>398</v>
      </c>
      <c r="B185" t="s">
        <v>399</v>
      </c>
      <c r="C185" t="s">
        <v>44</v>
      </c>
      <c r="D185" t="s">
        <v>34</v>
      </c>
      <c r="E185" t="s">
        <v>22</v>
      </c>
      <c r="F185" s="1">
        <v>45574</v>
      </c>
      <c r="G185" s="1">
        <v>45598</v>
      </c>
      <c r="H185">
        <v>322051</v>
      </c>
      <c r="I185">
        <v>11368</v>
      </c>
      <c r="J185">
        <v>507</v>
      </c>
      <c r="K185">
        <v>5632.57</v>
      </c>
      <c r="L185">
        <v>27361.66</v>
      </c>
      <c r="M185">
        <v>3.53</v>
      </c>
      <c r="N185">
        <v>4.46</v>
      </c>
      <c r="O185">
        <v>0.5</v>
      </c>
      <c r="P185">
        <v>11.11</v>
      </c>
      <c r="Q185">
        <v>4.8600000000000003</v>
      </c>
      <c r="R185">
        <v>385.78</v>
      </c>
    </row>
    <row r="186" spans="1:18" x14ac:dyDescent="0.3">
      <c r="A186" t="s">
        <v>400</v>
      </c>
      <c r="B186" t="s">
        <v>401</v>
      </c>
      <c r="C186" t="s">
        <v>29</v>
      </c>
      <c r="D186" t="s">
        <v>57</v>
      </c>
      <c r="E186" t="s">
        <v>31</v>
      </c>
      <c r="F186" s="1">
        <v>45379</v>
      </c>
      <c r="G186" s="1">
        <v>45424</v>
      </c>
      <c r="H186">
        <v>329696</v>
      </c>
      <c r="I186">
        <v>5868</v>
      </c>
      <c r="J186">
        <v>305</v>
      </c>
      <c r="K186">
        <v>11877.13</v>
      </c>
      <c r="L186">
        <v>54788.12</v>
      </c>
      <c r="M186">
        <v>1.78</v>
      </c>
      <c r="N186">
        <v>5.2</v>
      </c>
      <c r="O186">
        <v>2.02</v>
      </c>
      <c r="P186">
        <v>38.94</v>
      </c>
      <c r="Q186">
        <v>4.6100000000000003</v>
      </c>
      <c r="R186">
        <v>361.29</v>
      </c>
    </row>
    <row r="187" spans="1:18" x14ac:dyDescent="0.3">
      <c r="A187" t="s">
        <v>402</v>
      </c>
      <c r="B187" t="s">
        <v>403</v>
      </c>
      <c r="C187" t="s">
        <v>44</v>
      </c>
      <c r="D187" t="s">
        <v>21</v>
      </c>
      <c r="E187" t="s">
        <v>26</v>
      </c>
      <c r="F187" s="1">
        <v>45584</v>
      </c>
      <c r="G187" s="1">
        <v>45617</v>
      </c>
      <c r="H187">
        <v>92584</v>
      </c>
      <c r="I187">
        <v>1222</v>
      </c>
      <c r="J187">
        <v>45</v>
      </c>
      <c r="K187">
        <v>9709.64</v>
      </c>
      <c r="L187">
        <v>47869.35</v>
      </c>
      <c r="M187">
        <v>1.32</v>
      </c>
      <c r="N187">
        <v>3.75</v>
      </c>
      <c r="O187">
        <v>7.95</v>
      </c>
      <c r="P187">
        <v>215.77</v>
      </c>
      <c r="Q187">
        <v>4.93</v>
      </c>
      <c r="R187">
        <v>393.01</v>
      </c>
    </row>
    <row r="188" spans="1:18" x14ac:dyDescent="0.3">
      <c r="A188" t="s">
        <v>404</v>
      </c>
      <c r="B188" t="s">
        <v>405</v>
      </c>
      <c r="C188" t="s">
        <v>37</v>
      </c>
      <c r="D188" t="s">
        <v>21</v>
      </c>
      <c r="E188" t="s">
        <v>38</v>
      </c>
      <c r="F188" s="1">
        <v>45499</v>
      </c>
      <c r="G188" s="1">
        <v>45525</v>
      </c>
      <c r="H188">
        <v>378814</v>
      </c>
      <c r="I188">
        <v>27539</v>
      </c>
      <c r="J188">
        <v>3971</v>
      </c>
      <c r="K188">
        <v>1859.42</v>
      </c>
      <c r="L188">
        <v>5767.83</v>
      </c>
      <c r="M188">
        <v>7.27</v>
      </c>
      <c r="N188">
        <v>14.42</v>
      </c>
      <c r="O188">
        <v>7.0000000000000007E-2</v>
      </c>
      <c r="P188">
        <v>0.47</v>
      </c>
      <c r="Q188">
        <v>3.1</v>
      </c>
      <c r="R188">
        <v>210.2</v>
      </c>
    </row>
    <row r="189" spans="1:18" x14ac:dyDescent="0.3">
      <c r="A189" t="s">
        <v>406</v>
      </c>
      <c r="B189" t="s">
        <v>407</v>
      </c>
      <c r="C189" t="s">
        <v>25</v>
      </c>
      <c r="D189" t="s">
        <v>21</v>
      </c>
      <c r="E189" t="s">
        <v>26</v>
      </c>
      <c r="F189" s="1">
        <v>45452</v>
      </c>
      <c r="G189" s="1">
        <v>45479</v>
      </c>
      <c r="H189">
        <v>132879</v>
      </c>
      <c r="I189">
        <v>2059</v>
      </c>
      <c r="J189">
        <v>172</v>
      </c>
      <c r="K189">
        <v>7264.37</v>
      </c>
      <c r="L189">
        <v>34360.26</v>
      </c>
      <c r="M189">
        <v>1.55</v>
      </c>
      <c r="N189">
        <v>8.39</v>
      </c>
      <c r="O189">
        <v>3.53</v>
      </c>
      <c r="P189">
        <v>42.23</v>
      </c>
      <c r="Q189">
        <v>4.7300000000000004</v>
      </c>
      <c r="R189">
        <v>373</v>
      </c>
    </row>
    <row r="190" spans="1:18" x14ac:dyDescent="0.3">
      <c r="A190" t="s">
        <v>408</v>
      </c>
      <c r="B190" t="s">
        <v>409</v>
      </c>
      <c r="C190" t="s">
        <v>44</v>
      </c>
      <c r="D190" t="s">
        <v>30</v>
      </c>
      <c r="E190" t="s">
        <v>41</v>
      </c>
      <c r="F190" s="1">
        <v>45428</v>
      </c>
      <c r="G190" s="1">
        <v>45463</v>
      </c>
      <c r="H190">
        <v>448807</v>
      </c>
      <c r="I190">
        <v>9694</v>
      </c>
      <c r="J190">
        <v>336</v>
      </c>
      <c r="K190">
        <v>6488.95</v>
      </c>
      <c r="L190">
        <v>26599.03</v>
      </c>
      <c r="M190">
        <v>2.16</v>
      </c>
      <c r="N190">
        <v>3.47</v>
      </c>
      <c r="O190">
        <v>0.67</v>
      </c>
      <c r="P190">
        <v>19.309999999999999</v>
      </c>
      <c r="Q190">
        <v>4.0999999999999996</v>
      </c>
      <c r="R190">
        <v>309.91000000000003</v>
      </c>
    </row>
    <row r="191" spans="1:18" x14ac:dyDescent="0.3">
      <c r="A191" t="s">
        <v>410</v>
      </c>
      <c r="B191" t="s">
        <v>411</v>
      </c>
      <c r="C191" t="s">
        <v>29</v>
      </c>
      <c r="D191" t="s">
        <v>34</v>
      </c>
      <c r="E191" t="s">
        <v>26</v>
      </c>
      <c r="F191" s="1">
        <v>45373</v>
      </c>
      <c r="G191" s="1">
        <v>45400</v>
      </c>
      <c r="H191">
        <v>76531</v>
      </c>
      <c r="I191">
        <v>1813</v>
      </c>
      <c r="J191">
        <v>71</v>
      </c>
      <c r="K191">
        <v>12230.66</v>
      </c>
      <c r="L191">
        <v>38125.61</v>
      </c>
      <c r="M191">
        <v>2.37</v>
      </c>
      <c r="N191">
        <v>3.92</v>
      </c>
      <c r="O191">
        <v>6.75</v>
      </c>
      <c r="P191">
        <v>172.26</v>
      </c>
      <c r="Q191">
        <v>3.12</v>
      </c>
      <c r="R191">
        <v>211.72</v>
      </c>
    </row>
    <row r="192" spans="1:18" x14ac:dyDescent="0.3">
      <c r="A192" t="s">
        <v>412</v>
      </c>
      <c r="B192" t="s">
        <v>413</v>
      </c>
      <c r="C192" t="s">
        <v>37</v>
      </c>
      <c r="D192" t="s">
        <v>57</v>
      </c>
      <c r="E192" t="s">
        <v>41</v>
      </c>
      <c r="F192" s="1">
        <v>45546</v>
      </c>
      <c r="G192" s="1">
        <v>45554</v>
      </c>
      <c r="H192">
        <v>450095</v>
      </c>
      <c r="I192">
        <v>22324</v>
      </c>
      <c r="J192">
        <v>4009</v>
      </c>
      <c r="K192">
        <v>2600.67</v>
      </c>
      <c r="L192">
        <v>15489.18</v>
      </c>
      <c r="M192">
        <v>4.96</v>
      </c>
      <c r="N192">
        <v>17.96</v>
      </c>
      <c r="O192">
        <v>0.12</v>
      </c>
      <c r="P192">
        <v>0.65</v>
      </c>
      <c r="Q192">
        <v>5.96</v>
      </c>
      <c r="R192">
        <v>495.58</v>
      </c>
    </row>
    <row r="193" spans="1:18" x14ac:dyDescent="0.3">
      <c r="A193" t="s">
        <v>414</v>
      </c>
      <c r="B193" t="s">
        <v>415</v>
      </c>
      <c r="C193" t="s">
        <v>20</v>
      </c>
      <c r="D193" t="s">
        <v>30</v>
      </c>
      <c r="E193" t="s">
        <v>31</v>
      </c>
      <c r="F193" s="1">
        <v>45545</v>
      </c>
      <c r="G193" s="1">
        <v>45590</v>
      </c>
      <c r="H193">
        <v>289720</v>
      </c>
      <c r="I193">
        <v>18455</v>
      </c>
      <c r="J193">
        <v>976</v>
      </c>
      <c r="K193">
        <v>12057.9</v>
      </c>
      <c r="L193">
        <v>26858.15</v>
      </c>
      <c r="M193">
        <v>6.37</v>
      </c>
      <c r="N193">
        <v>5.29</v>
      </c>
      <c r="O193">
        <v>0.65</v>
      </c>
      <c r="P193">
        <v>12.35</v>
      </c>
      <c r="Q193">
        <v>2.23</v>
      </c>
      <c r="R193">
        <v>122.74</v>
      </c>
    </row>
    <row r="194" spans="1:18" x14ac:dyDescent="0.3">
      <c r="A194" t="s">
        <v>416</v>
      </c>
      <c r="B194" t="s">
        <v>417</v>
      </c>
      <c r="C194" t="s">
        <v>25</v>
      </c>
      <c r="D194" t="s">
        <v>57</v>
      </c>
      <c r="E194" t="s">
        <v>31</v>
      </c>
      <c r="F194" s="1">
        <v>45498</v>
      </c>
      <c r="G194" s="1">
        <v>45528</v>
      </c>
      <c r="H194">
        <v>54287</v>
      </c>
      <c r="I194">
        <v>1216</v>
      </c>
      <c r="J194">
        <v>97</v>
      </c>
      <c r="K194">
        <v>18119.29</v>
      </c>
      <c r="L194">
        <v>95557.26</v>
      </c>
      <c r="M194">
        <v>2.2400000000000002</v>
      </c>
      <c r="N194">
        <v>8.02</v>
      </c>
      <c r="O194">
        <v>14.9</v>
      </c>
      <c r="P194">
        <v>186.8</v>
      </c>
      <c r="Q194">
        <v>5.27</v>
      </c>
      <c r="R194">
        <v>427.38</v>
      </c>
    </row>
    <row r="195" spans="1:18" x14ac:dyDescent="0.3">
      <c r="A195" t="s">
        <v>418</v>
      </c>
      <c r="B195" t="s">
        <v>419</v>
      </c>
      <c r="C195" t="s">
        <v>20</v>
      </c>
      <c r="D195" t="s">
        <v>30</v>
      </c>
      <c r="E195" t="s">
        <v>26</v>
      </c>
      <c r="F195" s="1">
        <v>45522</v>
      </c>
      <c r="G195" s="1">
        <v>45564</v>
      </c>
      <c r="H195">
        <v>348991</v>
      </c>
      <c r="I195">
        <v>16577</v>
      </c>
      <c r="J195">
        <v>1024</v>
      </c>
      <c r="K195">
        <v>10772.03</v>
      </c>
      <c r="L195">
        <v>40271.99</v>
      </c>
      <c r="M195">
        <v>4.75</v>
      </c>
      <c r="N195">
        <v>6.18</v>
      </c>
      <c r="O195">
        <v>0.65</v>
      </c>
      <c r="P195">
        <v>10.52</v>
      </c>
      <c r="Q195">
        <v>3.74</v>
      </c>
      <c r="R195">
        <v>273.86</v>
      </c>
    </row>
    <row r="196" spans="1:18" x14ac:dyDescent="0.3">
      <c r="A196" t="s">
        <v>420</v>
      </c>
      <c r="B196" t="s">
        <v>421</v>
      </c>
      <c r="C196" t="s">
        <v>44</v>
      </c>
      <c r="D196" t="s">
        <v>21</v>
      </c>
      <c r="E196" t="s">
        <v>41</v>
      </c>
      <c r="F196" s="1">
        <v>45365</v>
      </c>
      <c r="G196" s="1">
        <v>45384</v>
      </c>
      <c r="H196">
        <v>100688</v>
      </c>
      <c r="I196">
        <v>2235</v>
      </c>
      <c r="J196">
        <v>95</v>
      </c>
      <c r="K196">
        <v>6738.57</v>
      </c>
      <c r="L196">
        <v>41949.41</v>
      </c>
      <c r="M196">
        <v>2.2200000000000002</v>
      </c>
      <c r="N196">
        <v>4.28</v>
      </c>
      <c r="O196">
        <v>3.02</v>
      </c>
      <c r="P196">
        <v>70.930000000000007</v>
      </c>
      <c r="Q196">
        <v>6.23</v>
      </c>
      <c r="R196">
        <v>522.53</v>
      </c>
    </row>
    <row r="197" spans="1:18" x14ac:dyDescent="0.3">
      <c r="A197" t="s">
        <v>422</v>
      </c>
      <c r="B197" t="s">
        <v>423</v>
      </c>
      <c r="C197" t="s">
        <v>37</v>
      </c>
      <c r="D197" t="s">
        <v>30</v>
      </c>
      <c r="E197" t="s">
        <v>31</v>
      </c>
      <c r="F197" s="1">
        <v>45525</v>
      </c>
      <c r="G197" s="1">
        <v>45541</v>
      </c>
      <c r="H197">
        <v>71105</v>
      </c>
      <c r="I197">
        <v>3036</v>
      </c>
      <c r="J197">
        <v>284</v>
      </c>
      <c r="K197">
        <v>1998.68</v>
      </c>
      <c r="L197">
        <v>8258.24</v>
      </c>
      <c r="M197">
        <v>4.2699999999999996</v>
      </c>
      <c r="N197">
        <v>9.3699999999999992</v>
      </c>
      <c r="O197">
        <v>0.66</v>
      </c>
      <c r="P197">
        <v>7.04</v>
      </c>
      <c r="Q197">
        <v>4.13</v>
      </c>
      <c r="R197">
        <v>313.18</v>
      </c>
    </row>
    <row r="198" spans="1:18" x14ac:dyDescent="0.3">
      <c r="A198" t="s">
        <v>424</v>
      </c>
      <c r="B198" t="s">
        <v>425</v>
      </c>
      <c r="C198" t="s">
        <v>37</v>
      </c>
      <c r="D198" t="s">
        <v>34</v>
      </c>
      <c r="E198" t="s">
        <v>22</v>
      </c>
      <c r="F198" s="1">
        <v>45595</v>
      </c>
      <c r="G198" s="1">
        <v>45623</v>
      </c>
      <c r="H198">
        <v>371424</v>
      </c>
      <c r="I198">
        <v>21951</v>
      </c>
      <c r="J198">
        <v>2618</v>
      </c>
      <c r="K198">
        <v>3274.25</v>
      </c>
      <c r="L198">
        <v>18963.5</v>
      </c>
      <c r="M198">
        <v>5.91</v>
      </c>
      <c r="N198">
        <v>11.93</v>
      </c>
      <c r="O198">
        <v>0.15</v>
      </c>
      <c r="P198">
        <v>1.25</v>
      </c>
      <c r="Q198">
        <v>5.79</v>
      </c>
      <c r="R198">
        <v>479.17</v>
      </c>
    </row>
    <row r="199" spans="1:18" x14ac:dyDescent="0.3">
      <c r="A199" t="s">
        <v>426</v>
      </c>
      <c r="B199" t="s">
        <v>427</v>
      </c>
      <c r="C199" t="s">
        <v>37</v>
      </c>
      <c r="D199" t="s">
        <v>30</v>
      </c>
      <c r="E199" t="s">
        <v>31</v>
      </c>
      <c r="F199" s="1">
        <v>45505</v>
      </c>
      <c r="G199" s="1">
        <v>45549</v>
      </c>
      <c r="H199">
        <v>207176</v>
      </c>
      <c r="I199">
        <v>14191</v>
      </c>
      <c r="J199">
        <v>1159</v>
      </c>
      <c r="K199">
        <v>1990.58</v>
      </c>
      <c r="L199">
        <v>4962.96</v>
      </c>
      <c r="M199">
        <v>6.85</v>
      </c>
      <c r="N199">
        <v>8.17</v>
      </c>
      <c r="O199">
        <v>0.14000000000000001</v>
      </c>
      <c r="P199">
        <v>1.72</v>
      </c>
      <c r="Q199">
        <v>2.4900000000000002</v>
      </c>
      <c r="R199">
        <v>149.32</v>
      </c>
    </row>
    <row r="200" spans="1:18" x14ac:dyDescent="0.3">
      <c r="A200" t="s">
        <v>428</v>
      </c>
      <c r="B200" t="s">
        <v>429</v>
      </c>
      <c r="C200" t="s">
        <v>44</v>
      </c>
      <c r="D200" t="s">
        <v>21</v>
      </c>
      <c r="E200" t="s">
        <v>31</v>
      </c>
      <c r="F200" s="1">
        <v>45408</v>
      </c>
      <c r="G200" s="1">
        <v>45418</v>
      </c>
      <c r="H200">
        <v>298821</v>
      </c>
      <c r="I200">
        <v>5647</v>
      </c>
      <c r="J200">
        <v>214</v>
      </c>
      <c r="K200">
        <v>14650.71</v>
      </c>
      <c r="L200">
        <v>67439.19</v>
      </c>
      <c r="M200">
        <v>1.89</v>
      </c>
      <c r="N200">
        <v>3.79</v>
      </c>
      <c r="O200">
        <v>2.59</v>
      </c>
      <c r="P200">
        <v>68.459999999999994</v>
      </c>
      <c r="Q200">
        <v>4.5999999999999996</v>
      </c>
      <c r="R200">
        <v>360.31</v>
      </c>
    </row>
    <row r="201" spans="1:18" x14ac:dyDescent="0.3">
      <c r="A201" t="s">
        <v>430</v>
      </c>
      <c r="B201" t="s">
        <v>431</v>
      </c>
      <c r="C201" t="s">
        <v>37</v>
      </c>
      <c r="D201" t="s">
        <v>30</v>
      </c>
      <c r="E201" t="s">
        <v>41</v>
      </c>
      <c r="F201" s="1">
        <v>45416</v>
      </c>
      <c r="G201" s="1">
        <v>45425</v>
      </c>
      <c r="H201">
        <v>324848</v>
      </c>
      <c r="I201">
        <v>25240</v>
      </c>
      <c r="J201">
        <v>3584</v>
      </c>
      <c r="K201">
        <v>4285.25</v>
      </c>
      <c r="L201">
        <v>11420.15</v>
      </c>
      <c r="M201">
        <v>7.77</v>
      </c>
      <c r="N201">
        <v>14.2</v>
      </c>
      <c r="O201">
        <v>0.17</v>
      </c>
      <c r="P201">
        <v>1.2</v>
      </c>
      <c r="Q201">
        <v>2.66</v>
      </c>
      <c r="R201">
        <v>166.5</v>
      </c>
    </row>
    <row r="202" spans="1:18" x14ac:dyDescent="0.3">
      <c r="A202" t="s">
        <v>432</v>
      </c>
      <c r="B202" t="s">
        <v>433</v>
      </c>
      <c r="C202" t="s">
        <v>37</v>
      </c>
      <c r="D202" t="s">
        <v>21</v>
      </c>
      <c r="E202" t="s">
        <v>41</v>
      </c>
      <c r="F202" s="1">
        <v>45548</v>
      </c>
      <c r="G202" s="1">
        <v>45585</v>
      </c>
      <c r="H202">
        <v>59928</v>
      </c>
      <c r="I202">
        <v>3985</v>
      </c>
      <c r="J202">
        <v>485</v>
      </c>
      <c r="K202">
        <v>2358.3200000000002</v>
      </c>
      <c r="L202">
        <v>6880.43</v>
      </c>
      <c r="M202">
        <v>6.65</v>
      </c>
      <c r="N202">
        <v>12.19</v>
      </c>
      <c r="O202">
        <v>0.59</v>
      </c>
      <c r="P202">
        <v>4.8600000000000003</v>
      </c>
      <c r="Q202">
        <v>2.92</v>
      </c>
      <c r="R202">
        <v>191.75</v>
      </c>
    </row>
    <row r="203" spans="1:18" x14ac:dyDescent="0.3">
      <c r="A203" t="s">
        <v>434</v>
      </c>
      <c r="B203" t="s">
        <v>435</v>
      </c>
      <c r="C203" t="s">
        <v>20</v>
      </c>
      <c r="D203" t="s">
        <v>34</v>
      </c>
      <c r="E203" t="s">
        <v>31</v>
      </c>
      <c r="F203" s="1">
        <v>45380</v>
      </c>
      <c r="G203" s="1">
        <v>45416</v>
      </c>
      <c r="H203">
        <v>158706</v>
      </c>
      <c r="I203">
        <v>7522</v>
      </c>
      <c r="J203">
        <v>751</v>
      </c>
      <c r="K203">
        <v>14567.42</v>
      </c>
      <c r="L203">
        <v>53836.98</v>
      </c>
      <c r="M203">
        <v>4.74</v>
      </c>
      <c r="N203">
        <v>9.99</v>
      </c>
      <c r="O203">
        <v>1.94</v>
      </c>
      <c r="P203">
        <v>19.399999999999999</v>
      </c>
      <c r="Q203">
        <v>3.7</v>
      </c>
      <c r="R203">
        <v>269.57</v>
      </c>
    </row>
    <row r="204" spans="1:18" x14ac:dyDescent="0.3">
      <c r="A204" t="s">
        <v>436</v>
      </c>
      <c r="B204" t="s">
        <v>437</v>
      </c>
      <c r="C204" t="s">
        <v>37</v>
      </c>
      <c r="D204" t="s">
        <v>57</v>
      </c>
      <c r="E204" t="s">
        <v>31</v>
      </c>
      <c r="F204" s="1">
        <v>45427</v>
      </c>
      <c r="G204" s="1">
        <v>45464</v>
      </c>
      <c r="H204">
        <v>235748</v>
      </c>
      <c r="I204">
        <v>19001</v>
      </c>
      <c r="J204">
        <v>3169</v>
      </c>
      <c r="K204">
        <v>3563.36</v>
      </c>
      <c r="L204">
        <v>20013.38</v>
      </c>
      <c r="M204">
        <v>8.06</v>
      </c>
      <c r="N204">
        <v>16.68</v>
      </c>
      <c r="O204">
        <v>0.19</v>
      </c>
      <c r="P204">
        <v>1.1200000000000001</v>
      </c>
      <c r="Q204">
        <v>5.62</v>
      </c>
      <c r="R204">
        <v>461.64</v>
      </c>
    </row>
    <row r="205" spans="1:18" x14ac:dyDescent="0.3">
      <c r="A205" t="s">
        <v>438</v>
      </c>
      <c r="B205" t="s">
        <v>439</v>
      </c>
      <c r="C205" t="s">
        <v>29</v>
      </c>
      <c r="D205" t="s">
        <v>34</v>
      </c>
      <c r="E205" t="s">
        <v>22</v>
      </c>
      <c r="F205" s="1">
        <v>45398</v>
      </c>
      <c r="G205" s="1">
        <v>45436</v>
      </c>
      <c r="H205">
        <v>342598</v>
      </c>
      <c r="I205">
        <v>8222</v>
      </c>
      <c r="J205">
        <v>551</v>
      </c>
      <c r="K205">
        <v>17733.900000000001</v>
      </c>
      <c r="L205">
        <v>97009.47</v>
      </c>
      <c r="M205">
        <v>2.4</v>
      </c>
      <c r="N205">
        <v>6.71</v>
      </c>
      <c r="O205">
        <v>2.16</v>
      </c>
      <c r="P205">
        <v>32.18</v>
      </c>
      <c r="Q205">
        <v>5.47</v>
      </c>
      <c r="R205">
        <v>447.03</v>
      </c>
    </row>
    <row r="206" spans="1:18" x14ac:dyDescent="0.3">
      <c r="A206" t="s">
        <v>440</v>
      </c>
      <c r="B206" t="s">
        <v>441</v>
      </c>
      <c r="C206" t="s">
        <v>44</v>
      </c>
      <c r="D206" t="s">
        <v>30</v>
      </c>
      <c r="E206" t="s">
        <v>22</v>
      </c>
      <c r="F206" s="1">
        <v>45570</v>
      </c>
      <c r="G206" s="1">
        <v>45601</v>
      </c>
      <c r="H206">
        <v>343856</v>
      </c>
      <c r="I206">
        <v>12481</v>
      </c>
      <c r="J206">
        <v>534</v>
      </c>
      <c r="K206">
        <v>5918.22</v>
      </c>
      <c r="L206">
        <v>15082.19</v>
      </c>
      <c r="M206">
        <v>3.63</v>
      </c>
      <c r="N206">
        <v>4.28</v>
      </c>
      <c r="O206">
        <v>0.47</v>
      </c>
      <c r="P206">
        <v>11.08</v>
      </c>
      <c r="Q206">
        <v>2.5499999999999998</v>
      </c>
      <c r="R206">
        <v>154.84</v>
      </c>
    </row>
    <row r="207" spans="1:18" x14ac:dyDescent="0.3">
      <c r="A207" t="s">
        <v>442</v>
      </c>
      <c r="B207" t="s">
        <v>443</v>
      </c>
      <c r="C207" t="s">
        <v>25</v>
      </c>
      <c r="D207" t="s">
        <v>57</v>
      </c>
      <c r="E207" t="s">
        <v>41</v>
      </c>
      <c r="F207" s="1">
        <v>45423</v>
      </c>
      <c r="G207" s="1">
        <v>45460</v>
      </c>
      <c r="H207">
        <v>202280</v>
      </c>
      <c r="I207">
        <v>1759</v>
      </c>
      <c r="J207">
        <v>205</v>
      </c>
      <c r="K207">
        <v>5264.47</v>
      </c>
      <c r="L207">
        <v>32418.83</v>
      </c>
      <c r="M207">
        <v>0.87</v>
      </c>
      <c r="N207">
        <v>11.69</v>
      </c>
      <c r="O207">
        <v>2.99</v>
      </c>
      <c r="P207">
        <v>25.68</v>
      </c>
      <c r="Q207">
        <v>6.16</v>
      </c>
      <c r="R207">
        <v>515.79999999999995</v>
      </c>
    </row>
    <row r="208" spans="1:18" x14ac:dyDescent="0.3">
      <c r="A208" t="s">
        <v>444</v>
      </c>
      <c r="B208" t="s">
        <v>445</v>
      </c>
      <c r="C208" t="s">
        <v>29</v>
      </c>
      <c r="D208" t="s">
        <v>34</v>
      </c>
      <c r="E208" t="s">
        <v>31</v>
      </c>
      <c r="F208" s="1">
        <v>45592</v>
      </c>
      <c r="G208" s="1">
        <v>45614</v>
      </c>
      <c r="H208">
        <v>192151</v>
      </c>
      <c r="I208">
        <v>8262</v>
      </c>
      <c r="J208">
        <v>452</v>
      </c>
      <c r="K208">
        <v>5059.09</v>
      </c>
      <c r="L208">
        <v>24134.62</v>
      </c>
      <c r="M208">
        <v>4.3</v>
      </c>
      <c r="N208">
        <v>5.48</v>
      </c>
      <c r="O208">
        <v>0.61</v>
      </c>
      <c r="P208">
        <v>11.19</v>
      </c>
      <c r="Q208">
        <v>4.7699999999999996</v>
      </c>
      <c r="R208">
        <v>377.05</v>
      </c>
    </row>
    <row r="209" spans="1:18" x14ac:dyDescent="0.3">
      <c r="A209" t="s">
        <v>446</v>
      </c>
      <c r="B209" t="s">
        <v>447</v>
      </c>
      <c r="C209" t="s">
        <v>29</v>
      </c>
      <c r="D209" t="s">
        <v>21</v>
      </c>
      <c r="E209" t="s">
        <v>31</v>
      </c>
      <c r="F209" s="1">
        <v>45343</v>
      </c>
      <c r="G209" s="1">
        <v>45358</v>
      </c>
      <c r="H209">
        <v>168316</v>
      </c>
      <c r="I209">
        <v>5739</v>
      </c>
      <c r="J209">
        <v>129</v>
      </c>
      <c r="K209">
        <v>9199.52</v>
      </c>
      <c r="L209">
        <v>48096.11</v>
      </c>
      <c r="M209">
        <v>3.41</v>
      </c>
      <c r="N209">
        <v>2.2599999999999998</v>
      </c>
      <c r="O209">
        <v>1.6</v>
      </c>
      <c r="P209">
        <v>71.31</v>
      </c>
      <c r="Q209">
        <v>5.23</v>
      </c>
      <c r="R209">
        <v>422.81</v>
      </c>
    </row>
    <row r="210" spans="1:18" x14ac:dyDescent="0.3">
      <c r="A210" t="s">
        <v>448</v>
      </c>
      <c r="B210" t="s">
        <v>449</v>
      </c>
      <c r="C210" t="s">
        <v>20</v>
      </c>
      <c r="D210" t="s">
        <v>34</v>
      </c>
      <c r="E210" t="s">
        <v>38</v>
      </c>
      <c r="F210" s="1">
        <v>45439</v>
      </c>
      <c r="G210" s="1">
        <v>45466</v>
      </c>
      <c r="H210">
        <v>392303</v>
      </c>
      <c r="I210">
        <v>24479</v>
      </c>
      <c r="J210">
        <v>2269</v>
      </c>
      <c r="K210">
        <v>14548.97</v>
      </c>
      <c r="L210">
        <v>42156.4</v>
      </c>
      <c r="M210">
        <v>6.24</v>
      </c>
      <c r="N210">
        <v>9.27</v>
      </c>
      <c r="O210">
        <v>0.59</v>
      </c>
      <c r="P210">
        <v>6.41</v>
      </c>
      <c r="Q210">
        <v>2.9</v>
      </c>
      <c r="R210">
        <v>189.76</v>
      </c>
    </row>
    <row r="211" spans="1:18" x14ac:dyDescent="0.3">
      <c r="A211" t="s">
        <v>450</v>
      </c>
      <c r="B211" t="s">
        <v>451</v>
      </c>
      <c r="C211" t="s">
        <v>44</v>
      </c>
      <c r="D211" t="s">
        <v>21</v>
      </c>
      <c r="E211" t="s">
        <v>26</v>
      </c>
      <c r="F211" s="1">
        <v>45381</v>
      </c>
      <c r="G211" s="1">
        <v>45414</v>
      </c>
      <c r="H211">
        <v>391992</v>
      </c>
      <c r="I211">
        <v>10544</v>
      </c>
      <c r="J211">
        <v>355</v>
      </c>
      <c r="K211">
        <v>11538.97</v>
      </c>
      <c r="L211">
        <v>71714.84</v>
      </c>
      <c r="M211">
        <v>2.69</v>
      </c>
      <c r="N211">
        <v>3.37</v>
      </c>
      <c r="O211">
        <v>1.0900000000000001</v>
      </c>
      <c r="P211">
        <v>32.5</v>
      </c>
      <c r="Q211">
        <v>6.22</v>
      </c>
      <c r="R211">
        <v>521.5</v>
      </c>
    </row>
    <row r="212" spans="1:18" x14ac:dyDescent="0.3">
      <c r="A212" t="s">
        <v>452</v>
      </c>
      <c r="B212" t="s">
        <v>453</v>
      </c>
      <c r="C212" t="s">
        <v>29</v>
      </c>
      <c r="D212" t="s">
        <v>21</v>
      </c>
      <c r="E212" t="s">
        <v>38</v>
      </c>
      <c r="F212" s="1">
        <v>45311</v>
      </c>
      <c r="G212" s="1">
        <v>45318</v>
      </c>
      <c r="H212">
        <v>463118</v>
      </c>
      <c r="I212">
        <v>13847</v>
      </c>
      <c r="J212">
        <v>924</v>
      </c>
      <c r="K212">
        <v>17431.97</v>
      </c>
      <c r="L212">
        <v>107506.07</v>
      </c>
      <c r="M212">
        <v>2.99</v>
      </c>
      <c r="N212">
        <v>6.68</v>
      </c>
      <c r="O212">
        <v>1.26</v>
      </c>
      <c r="P212">
        <v>18.87</v>
      </c>
      <c r="Q212">
        <v>6.17</v>
      </c>
      <c r="R212">
        <v>516.72</v>
      </c>
    </row>
    <row r="213" spans="1:18" x14ac:dyDescent="0.3">
      <c r="A213" t="s">
        <v>454</v>
      </c>
      <c r="B213" t="s">
        <v>455</v>
      </c>
      <c r="C213" t="s">
        <v>44</v>
      </c>
      <c r="D213" t="s">
        <v>21</v>
      </c>
      <c r="E213" t="s">
        <v>22</v>
      </c>
      <c r="F213" s="1">
        <v>45360</v>
      </c>
      <c r="G213" s="1">
        <v>45399</v>
      </c>
      <c r="H213">
        <v>199192</v>
      </c>
      <c r="I213">
        <v>4740</v>
      </c>
      <c r="J213">
        <v>177</v>
      </c>
      <c r="K213">
        <v>9053.98</v>
      </c>
      <c r="L213">
        <v>54339</v>
      </c>
      <c r="M213">
        <v>2.38</v>
      </c>
      <c r="N213">
        <v>3.74</v>
      </c>
      <c r="O213">
        <v>1.91</v>
      </c>
      <c r="P213">
        <v>51.15</v>
      </c>
      <c r="Q213">
        <v>6</v>
      </c>
      <c r="R213">
        <v>500.17</v>
      </c>
    </row>
    <row r="214" spans="1:18" x14ac:dyDescent="0.3">
      <c r="A214" t="s">
        <v>456</v>
      </c>
      <c r="B214" t="s">
        <v>457</v>
      </c>
      <c r="C214" t="s">
        <v>25</v>
      </c>
      <c r="D214" t="s">
        <v>57</v>
      </c>
      <c r="E214" t="s">
        <v>41</v>
      </c>
      <c r="F214" s="1">
        <v>45387</v>
      </c>
      <c r="G214" s="1">
        <v>45394</v>
      </c>
      <c r="H214">
        <v>474051</v>
      </c>
      <c r="I214">
        <v>4693</v>
      </c>
      <c r="J214">
        <v>288</v>
      </c>
      <c r="K214">
        <v>11342.63</v>
      </c>
      <c r="L214">
        <v>35816.53</v>
      </c>
      <c r="M214">
        <v>0.99</v>
      </c>
      <c r="N214">
        <v>6.14</v>
      </c>
      <c r="O214">
        <v>2.42</v>
      </c>
      <c r="P214">
        <v>39.380000000000003</v>
      </c>
      <c r="Q214">
        <v>3.16</v>
      </c>
      <c r="R214">
        <v>215.77</v>
      </c>
    </row>
    <row r="215" spans="1:18" x14ac:dyDescent="0.3">
      <c r="A215" t="s">
        <v>458</v>
      </c>
      <c r="B215" t="s">
        <v>459</v>
      </c>
      <c r="C215" t="s">
        <v>44</v>
      </c>
      <c r="D215" t="s">
        <v>57</v>
      </c>
      <c r="E215" t="s">
        <v>31</v>
      </c>
      <c r="F215" s="1">
        <v>45510</v>
      </c>
      <c r="G215" s="1">
        <v>45549</v>
      </c>
      <c r="H215">
        <v>403580</v>
      </c>
      <c r="I215">
        <v>12793</v>
      </c>
      <c r="J215">
        <v>269</v>
      </c>
      <c r="K215">
        <v>13201.83</v>
      </c>
      <c r="L215">
        <v>79695.39</v>
      </c>
      <c r="M215">
        <v>3.17</v>
      </c>
      <c r="N215">
        <v>2.11</v>
      </c>
      <c r="O215">
        <v>1.03</v>
      </c>
      <c r="P215">
        <v>49.08</v>
      </c>
      <c r="Q215">
        <v>6.04</v>
      </c>
      <c r="R215">
        <v>503.67</v>
      </c>
    </row>
    <row r="216" spans="1:18" x14ac:dyDescent="0.3">
      <c r="A216" t="s">
        <v>460</v>
      </c>
      <c r="B216" t="s">
        <v>461</v>
      </c>
      <c r="C216" t="s">
        <v>44</v>
      </c>
      <c r="D216" t="s">
        <v>21</v>
      </c>
      <c r="E216" t="s">
        <v>38</v>
      </c>
      <c r="F216" s="1">
        <v>45295</v>
      </c>
      <c r="G216" s="1">
        <v>45318</v>
      </c>
      <c r="H216">
        <v>400882</v>
      </c>
      <c r="I216">
        <v>5812</v>
      </c>
      <c r="J216">
        <v>287</v>
      </c>
      <c r="K216">
        <v>8468.18</v>
      </c>
      <c r="L216">
        <v>52597.68</v>
      </c>
      <c r="M216">
        <v>1.45</v>
      </c>
      <c r="N216">
        <v>4.9400000000000004</v>
      </c>
      <c r="O216">
        <v>1.46</v>
      </c>
      <c r="P216">
        <v>29.51</v>
      </c>
      <c r="Q216">
        <v>6.21</v>
      </c>
      <c r="R216">
        <v>521.12</v>
      </c>
    </row>
    <row r="217" spans="1:18" x14ac:dyDescent="0.3">
      <c r="A217" t="s">
        <v>462</v>
      </c>
      <c r="B217" t="s">
        <v>463</v>
      </c>
      <c r="C217" t="s">
        <v>25</v>
      </c>
      <c r="D217" t="s">
        <v>34</v>
      </c>
      <c r="E217" t="s">
        <v>38</v>
      </c>
      <c r="F217" s="1">
        <v>45425</v>
      </c>
      <c r="G217" s="1">
        <v>45455</v>
      </c>
      <c r="H217">
        <v>445185</v>
      </c>
      <c r="I217">
        <v>5564</v>
      </c>
      <c r="J217">
        <v>406</v>
      </c>
      <c r="K217">
        <v>13319.37</v>
      </c>
      <c r="L217">
        <v>60975.38</v>
      </c>
      <c r="M217">
        <v>1.25</v>
      </c>
      <c r="N217">
        <v>7.31</v>
      </c>
      <c r="O217">
        <v>2.39</v>
      </c>
      <c r="P217">
        <v>32.81</v>
      </c>
      <c r="Q217">
        <v>4.58</v>
      </c>
      <c r="R217">
        <v>357.79</v>
      </c>
    </row>
    <row r="218" spans="1:18" x14ac:dyDescent="0.3">
      <c r="A218" t="s">
        <v>464</v>
      </c>
      <c r="B218" t="s">
        <v>465</v>
      </c>
      <c r="C218" t="s">
        <v>29</v>
      </c>
      <c r="D218" t="s">
        <v>21</v>
      </c>
      <c r="E218" t="s">
        <v>26</v>
      </c>
      <c r="F218" s="1">
        <v>45451</v>
      </c>
      <c r="G218" s="1">
        <v>45465</v>
      </c>
      <c r="H218">
        <v>294001</v>
      </c>
      <c r="I218">
        <v>7114</v>
      </c>
      <c r="J218">
        <v>286</v>
      </c>
      <c r="K218">
        <v>10537.81</v>
      </c>
      <c r="L218">
        <v>63522.26</v>
      </c>
      <c r="M218">
        <v>2.42</v>
      </c>
      <c r="N218">
        <v>4.03</v>
      </c>
      <c r="O218">
        <v>1.48</v>
      </c>
      <c r="P218">
        <v>36.85</v>
      </c>
      <c r="Q218">
        <v>6.03</v>
      </c>
      <c r="R218">
        <v>502.8</v>
      </c>
    </row>
    <row r="219" spans="1:18" x14ac:dyDescent="0.3">
      <c r="A219" t="s">
        <v>466</v>
      </c>
      <c r="B219" t="s">
        <v>467</v>
      </c>
      <c r="C219" t="s">
        <v>44</v>
      </c>
      <c r="D219" t="s">
        <v>57</v>
      </c>
      <c r="E219" t="s">
        <v>31</v>
      </c>
      <c r="F219" s="1">
        <v>45602</v>
      </c>
      <c r="G219" s="1">
        <v>45632</v>
      </c>
      <c r="H219">
        <v>165788</v>
      </c>
      <c r="I219">
        <v>2934</v>
      </c>
      <c r="J219">
        <v>57</v>
      </c>
      <c r="K219">
        <v>4414.82</v>
      </c>
      <c r="L219">
        <v>23684.66</v>
      </c>
      <c r="M219">
        <v>1.77</v>
      </c>
      <c r="N219">
        <v>1.97</v>
      </c>
      <c r="O219">
        <v>1.5</v>
      </c>
      <c r="P219">
        <v>77.45</v>
      </c>
      <c r="Q219">
        <v>5.36</v>
      </c>
      <c r="R219">
        <v>436.48</v>
      </c>
    </row>
    <row r="220" spans="1:18" x14ac:dyDescent="0.3">
      <c r="A220" t="s">
        <v>468</v>
      </c>
      <c r="B220" t="s">
        <v>469</v>
      </c>
      <c r="C220" t="s">
        <v>25</v>
      </c>
      <c r="D220" t="s">
        <v>30</v>
      </c>
      <c r="E220" t="s">
        <v>31</v>
      </c>
      <c r="F220" s="1">
        <v>45333</v>
      </c>
      <c r="G220" s="1">
        <v>45373</v>
      </c>
      <c r="H220">
        <v>470476</v>
      </c>
      <c r="I220">
        <v>9080</v>
      </c>
      <c r="J220">
        <v>592</v>
      </c>
      <c r="K220">
        <v>7959.45</v>
      </c>
      <c r="L220">
        <v>42951.8</v>
      </c>
      <c r="M220">
        <v>1.93</v>
      </c>
      <c r="N220">
        <v>6.53</v>
      </c>
      <c r="O220">
        <v>0.88</v>
      </c>
      <c r="P220">
        <v>13.45</v>
      </c>
      <c r="Q220">
        <v>5.4</v>
      </c>
      <c r="R220">
        <v>439.63</v>
      </c>
    </row>
    <row r="221" spans="1:18" x14ac:dyDescent="0.3">
      <c r="A221" t="s">
        <v>470</v>
      </c>
      <c r="B221" t="s">
        <v>471</v>
      </c>
      <c r="C221" t="s">
        <v>25</v>
      </c>
      <c r="D221" t="s">
        <v>57</v>
      </c>
      <c r="E221" t="s">
        <v>26</v>
      </c>
      <c r="F221" s="1">
        <v>45566</v>
      </c>
      <c r="G221" s="1">
        <v>45582</v>
      </c>
      <c r="H221">
        <v>345786</v>
      </c>
      <c r="I221">
        <v>3423</v>
      </c>
      <c r="J221">
        <v>369</v>
      </c>
      <c r="K221">
        <v>18446.21</v>
      </c>
      <c r="L221">
        <v>53673.04</v>
      </c>
      <c r="M221">
        <v>0.99</v>
      </c>
      <c r="N221">
        <v>10.8</v>
      </c>
      <c r="O221">
        <v>5.39</v>
      </c>
      <c r="P221">
        <v>49.99</v>
      </c>
      <c r="Q221">
        <v>2.91</v>
      </c>
      <c r="R221">
        <v>190.97</v>
      </c>
    </row>
    <row r="222" spans="1:18" x14ac:dyDescent="0.3">
      <c r="A222" t="s">
        <v>472</v>
      </c>
      <c r="B222" t="s">
        <v>473</v>
      </c>
      <c r="C222" t="s">
        <v>29</v>
      </c>
      <c r="D222" t="s">
        <v>57</v>
      </c>
      <c r="E222" t="s">
        <v>31</v>
      </c>
      <c r="F222" s="1">
        <v>45553</v>
      </c>
      <c r="G222" s="1">
        <v>45588</v>
      </c>
      <c r="H222">
        <v>281651</v>
      </c>
      <c r="I222">
        <v>5210</v>
      </c>
      <c r="J222">
        <v>157</v>
      </c>
      <c r="K222">
        <v>11747.22</v>
      </c>
      <c r="L222">
        <v>28301.84</v>
      </c>
      <c r="M222">
        <v>1.85</v>
      </c>
      <c r="N222">
        <v>3.03</v>
      </c>
      <c r="O222">
        <v>2.25</v>
      </c>
      <c r="P222">
        <v>74.819999999999993</v>
      </c>
      <c r="Q222">
        <v>2.41</v>
      </c>
      <c r="R222">
        <v>140.91999999999999</v>
      </c>
    </row>
    <row r="223" spans="1:18" x14ac:dyDescent="0.3">
      <c r="A223" t="s">
        <v>474</v>
      </c>
      <c r="B223" t="s">
        <v>475</v>
      </c>
      <c r="C223" t="s">
        <v>20</v>
      </c>
      <c r="D223" t="s">
        <v>30</v>
      </c>
      <c r="E223" t="s">
        <v>41</v>
      </c>
      <c r="F223" s="1">
        <v>45449</v>
      </c>
      <c r="G223" s="1">
        <v>45457</v>
      </c>
      <c r="H223">
        <v>319089</v>
      </c>
      <c r="I223">
        <v>13274</v>
      </c>
      <c r="J223">
        <v>979</v>
      </c>
      <c r="K223">
        <v>16175.94</v>
      </c>
      <c r="L223">
        <v>81323.81</v>
      </c>
      <c r="M223">
        <v>4.16</v>
      </c>
      <c r="N223">
        <v>7.38</v>
      </c>
      <c r="O223">
        <v>1.22</v>
      </c>
      <c r="P223">
        <v>16.52</v>
      </c>
      <c r="Q223">
        <v>5.03</v>
      </c>
      <c r="R223">
        <v>402.75</v>
      </c>
    </row>
    <row r="224" spans="1:18" x14ac:dyDescent="0.3">
      <c r="A224" t="s">
        <v>476</v>
      </c>
      <c r="B224" t="s">
        <v>477</v>
      </c>
      <c r="C224" t="s">
        <v>25</v>
      </c>
      <c r="D224" t="s">
        <v>57</v>
      </c>
      <c r="E224" t="s">
        <v>26</v>
      </c>
      <c r="F224" s="1">
        <v>45569</v>
      </c>
      <c r="G224" s="1">
        <v>45579</v>
      </c>
      <c r="H224">
        <v>441016</v>
      </c>
      <c r="I224">
        <v>5159</v>
      </c>
      <c r="J224">
        <v>284</v>
      </c>
      <c r="K224">
        <v>10779.16</v>
      </c>
      <c r="L224">
        <v>55531.34</v>
      </c>
      <c r="M224">
        <v>1.17</v>
      </c>
      <c r="N224">
        <v>5.51</v>
      </c>
      <c r="O224">
        <v>2.09</v>
      </c>
      <c r="P224">
        <v>37.950000000000003</v>
      </c>
      <c r="Q224">
        <v>5.15</v>
      </c>
      <c r="R224">
        <v>415.17</v>
      </c>
    </row>
    <row r="225" spans="1:18" x14ac:dyDescent="0.3">
      <c r="A225" t="s">
        <v>478</v>
      </c>
      <c r="B225" t="s">
        <v>479</v>
      </c>
      <c r="C225" t="s">
        <v>20</v>
      </c>
      <c r="D225" t="s">
        <v>30</v>
      </c>
      <c r="E225" t="s">
        <v>26</v>
      </c>
      <c r="F225" s="1">
        <v>45622</v>
      </c>
      <c r="G225" s="1">
        <v>45655</v>
      </c>
      <c r="H225">
        <v>200518</v>
      </c>
      <c r="I225">
        <v>8301</v>
      </c>
      <c r="J225">
        <v>714</v>
      </c>
      <c r="K225">
        <v>20316.55</v>
      </c>
      <c r="L225">
        <v>130076.71</v>
      </c>
      <c r="M225">
        <v>4.1399999999999997</v>
      </c>
      <c r="N225">
        <v>8.61</v>
      </c>
      <c r="O225">
        <v>2.4500000000000002</v>
      </c>
      <c r="P225">
        <v>28.45</v>
      </c>
      <c r="Q225">
        <v>6.4</v>
      </c>
      <c r="R225">
        <v>540.25</v>
      </c>
    </row>
    <row r="226" spans="1:18" x14ac:dyDescent="0.3">
      <c r="A226" t="s">
        <v>480</v>
      </c>
      <c r="B226" t="s">
        <v>481</v>
      </c>
      <c r="C226" t="s">
        <v>44</v>
      </c>
      <c r="D226" t="s">
        <v>30</v>
      </c>
      <c r="E226" t="s">
        <v>38</v>
      </c>
      <c r="F226" s="1">
        <v>45470</v>
      </c>
      <c r="G226" s="1">
        <v>45484</v>
      </c>
      <c r="H226">
        <v>247916</v>
      </c>
      <c r="I226">
        <v>5404</v>
      </c>
      <c r="J226">
        <v>210</v>
      </c>
      <c r="K226">
        <v>10772.41</v>
      </c>
      <c r="L226">
        <v>47687.86</v>
      </c>
      <c r="M226">
        <v>2.1800000000000002</v>
      </c>
      <c r="N226">
        <v>3.89</v>
      </c>
      <c r="O226">
        <v>1.99</v>
      </c>
      <c r="P226">
        <v>51.3</v>
      </c>
      <c r="Q226">
        <v>4.43</v>
      </c>
      <c r="R226">
        <v>342.69</v>
      </c>
    </row>
    <row r="227" spans="1:18" x14ac:dyDescent="0.3">
      <c r="A227" t="s">
        <v>482</v>
      </c>
      <c r="B227" t="s">
        <v>483</v>
      </c>
      <c r="C227" t="s">
        <v>29</v>
      </c>
      <c r="D227" t="s">
        <v>30</v>
      </c>
      <c r="E227" t="s">
        <v>31</v>
      </c>
      <c r="F227" s="1">
        <v>45444</v>
      </c>
      <c r="G227" s="1">
        <v>45480</v>
      </c>
      <c r="H227">
        <v>116766</v>
      </c>
      <c r="I227">
        <v>4296</v>
      </c>
      <c r="J227">
        <v>133</v>
      </c>
      <c r="K227">
        <v>3052.1</v>
      </c>
      <c r="L227">
        <v>6416.46</v>
      </c>
      <c r="M227">
        <v>3.68</v>
      </c>
      <c r="N227">
        <v>3.11</v>
      </c>
      <c r="O227">
        <v>0.71</v>
      </c>
      <c r="P227">
        <v>22.95</v>
      </c>
      <c r="Q227">
        <v>2.1</v>
      </c>
      <c r="R227">
        <v>110.23</v>
      </c>
    </row>
    <row r="228" spans="1:18" x14ac:dyDescent="0.3">
      <c r="A228" t="s">
        <v>484</v>
      </c>
      <c r="B228" t="s">
        <v>485</v>
      </c>
      <c r="C228" t="s">
        <v>37</v>
      </c>
      <c r="D228" t="s">
        <v>30</v>
      </c>
      <c r="E228" t="s">
        <v>31</v>
      </c>
      <c r="F228" s="1">
        <v>45349</v>
      </c>
      <c r="G228" s="1">
        <v>45358</v>
      </c>
      <c r="H228">
        <v>248850</v>
      </c>
      <c r="I228">
        <v>22247</v>
      </c>
      <c r="J228">
        <v>2331</v>
      </c>
      <c r="K228">
        <v>2057.7199999999998</v>
      </c>
      <c r="L228">
        <v>6667.88</v>
      </c>
      <c r="M228">
        <v>8.94</v>
      </c>
      <c r="N228">
        <v>10.48</v>
      </c>
      <c r="O228">
        <v>0.09</v>
      </c>
      <c r="P228">
        <v>0.88</v>
      </c>
      <c r="Q228">
        <v>3.24</v>
      </c>
      <c r="R228">
        <v>224.04</v>
      </c>
    </row>
    <row r="229" spans="1:18" x14ac:dyDescent="0.3">
      <c r="A229" t="s">
        <v>486</v>
      </c>
      <c r="B229" t="s">
        <v>487</v>
      </c>
      <c r="C229" t="s">
        <v>25</v>
      </c>
      <c r="D229" t="s">
        <v>21</v>
      </c>
      <c r="E229" t="s">
        <v>41</v>
      </c>
      <c r="F229" s="1">
        <v>45316</v>
      </c>
      <c r="G229" s="1">
        <v>45338</v>
      </c>
      <c r="H229">
        <v>158046</v>
      </c>
      <c r="I229">
        <v>1438</v>
      </c>
      <c r="J229">
        <v>131</v>
      </c>
      <c r="K229">
        <v>11143.06</v>
      </c>
      <c r="L229">
        <v>55983.92</v>
      </c>
      <c r="M229">
        <v>0.91</v>
      </c>
      <c r="N229">
        <v>9.16</v>
      </c>
      <c r="O229">
        <v>7.75</v>
      </c>
      <c r="P229">
        <v>85.06</v>
      </c>
      <c r="Q229">
        <v>5.0199999999999996</v>
      </c>
      <c r="R229">
        <v>402.41</v>
      </c>
    </row>
    <row r="230" spans="1:18" x14ac:dyDescent="0.3">
      <c r="A230" t="s">
        <v>488</v>
      </c>
      <c r="B230" t="s">
        <v>489</v>
      </c>
      <c r="C230" t="s">
        <v>20</v>
      </c>
      <c r="D230" t="s">
        <v>30</v>
      </c>
      <c r="E230" t="s">
        <v>38</v>
      </c>
      <c r="F230" s="1">
        <v>45440</v>
      </c>
      <c r="G230" s="1">
        <v>45461</v>
      </c>
      <c r="H230">
        <v>172861</v>
      </c>
      <c r="I230">
        <v>8055</v>
      </c>
      <c r="J230">
        <v>687</v>
      </c>
      <c r="K230">
        <v>20521.27</v>
      </c>
      <c r="L230">
        <v>53983.46</v>
      </c>
      <c r="M230">
        <v>4.66</v>
      </c>
      <c r="N230">
        <v>8.5299999999999994</v>
      </c>
      <c r="O230">
        <v>2.5499999999999998</v>
      </c>
      <c r="P230">
        <v>29.87</v>
      </c>
      <c r="Q230">
        <v>2.63</v>
      </c>
      <c r="R230">
        <v>163.06</v>
      </c>
    </row>
    <row r="231" spans="1:18" x14ac:dyDescent="0.3">
      <c r="A231" t="s">
        <v>490</v>
      </c>
      <c r="B231" t="s">
        <v>491</v>
      </c>
      <c r="C231" t="s">
        <v>37</v>
      </c>
      <c r="D231" t="s">
        <v>57</v>
      </c>
      <c r="E231" t="s">
        <v>31</v>
      </c>
      <c r="F231" s="1">
        <v>45558</v>
      </c>
      <c r="G231" s="1">
        <v>45579</v>
      </c>
      <c r="H231">
        <v>363481</v>
      </c>
      <c r="I231">
        <v>31404</v>
      </c>
      <c r="J231">
        <v>5081</v>
      </c>
      <c r="K231">
        <v>1566.07</v>
      </c>
      <c r="L231">
        <v>9307.41</v>
      </c>
      <c r="M231">
        <v>8.64</v>
      </c>
      <c r="N231">
        <v>16.18</v>
      </c>
      <c r="O231">
        <v>0.05</v>
      </c>
      <c r="P231">
        <v>0.31</v>
      </c>
      <c r="Q231">
        <v>5.94</v>
      </c>
      <c r="R231">
        <v>494.32</v>
      </c>
    </row>
    <row r="232" spans="1:18" x14ac:dyDescent="0.3">
      <c r="A232" t="s">
        <v>492</v>
      </c>
      <c r="B232" t="s">
        <v>493</v>
      </c>
      <c r="C232" t="s">
        <v>25</v>
      </c>
      <c r="D232" t="s">
        <v>57</v>
      </c>
      <c r="E232" t="s">
        <v>22</v>
      </c>
      <c r="F232" s="1">
        <v>45510</v>
      </c>
      <c r="G232" s="1">
        <v>45552</v>
      </c>
      <c r="H232">
        <v>81959</v>
      </c>
      <c r="I232">
        <v>1434</v>
      </c>
      <c r="J232">
        <v>131</v>
      </c>
      <c r="K232">
        <v>15763.39</v>
      </c>
      <c r="L232">
        <v>43949.9</v>
      </c>
      <c r="M232">
        <v>1.75</v>
      </c>
      <c r="N232">
        <v>9.14</v>
      </c>
      <c r="O232">
        <v>10.99</v>
      </c>
      <c r="P232">
        <v>120.33</v>
      </c>
      <c r="Q232">
        <v>2.79</v>
      </c>
      <c r="R232">
        <v>178.81</v>
      </c>
    </row>
    <row r="233" spans="1:18" x14ac:dyDescent="0.3">
      <c r="A233" t="s">
        <v>494</v>
      </c>
      <c r="B233" t="s">
        <v>495</v>
      </c>
      <c r="C233" t="s">
        <v>25</v>
      </c>
      <c r="D233" t="s">
        <v>21</v>
      </c>
      <c r="E233" t="s">
        <v>22</v>
      </c>
      <c r="F233" s="1">
        <v>45368</v>
      </c>
      <c r="G233" s="1">
        <v>45394</v>
      </c>
      <c r="H233">
        <v>387282</v>
      </c>
      <c r="I233">
        <v>7513</v>
      </c>
      <c r="J233">
        <v>788</v>
      </c>
      <c r="K233">
        <v>9099.75</v>
      </c>
      <c r="L233">
        <v>35247.53</v>
      </c>
      <c r="M233">
        <v>1.94</v>
      </c>
      <c r="N233">
        <v>10.5</v>
      </c>
      <c r="O233">
        <v>1.21</v>
      </c>
      <c r="P233">
        <v>11.55</v>
      </c>
      <c r="Q233">
        <v>3.87</v>
      </c>
      <c r="R233">
        <v>287.35000000000002</v>
      </c>
    </row>
    <row r="234" spans="1:18" x14ac:dyDescent="0.3">
      <c r="A234" t="s">
        <v>496</v>
      </c>
      <c r="B234" t="s">
        <v>497</v>
      </c>
      <c r="C234" t="s">
        <v>25</v>
      </c>
      <c r="D234" t="s">
        <v>34</v>
      </c>
      <c r="E234" t="s">
        <v>31</v>
      </c>
      <c r="F234" s="1">
        <v>45529</v>
      </c>
      <c r="G234" s="1">
        <v>45539</v>
      </c>
      <c r="H234">
        <v>298260</v>
      </c>
      <c r="I234">
        <v>3608</v>
      </c>
      <c r="J234">
        <v>237</v>
      </c>
      <c r="K234">
        <v>17720.66</v>
      </c>
      <c r="L234">
        <v>46952.36</v>
      </c>
      <c r="M234">
        <v>1.21</v>
      </c>
      <c r="N234">
        <v>6.58</v>
      </c>
      <c r="O234">
        <v>4.91</v>
      </c>
      <c r="P234">
        <v>74.77</v>
      </c>
      <c r="Q234">
        <v>2.65</v>
      </c>
      <c r="R234">
        <v>164.96</v>
      </c>
    </row>
    <row r="235" spans="1:18" x14ac:dyDescent="0.3">
      <c r="A235" t="s">
        <v>498</v>
      </c>
      <c r="B235" t="s">
        <v>499</v>
      </c>
      <c r="C235" t="s">
        <v>37</v>
      </c>
      <c r="D235" t="s">
        <v>30</v>
      </c>
      <c r="E235" t="s">
        <v>38</v>
      </c>
      <c r="F235" s="1">
        <v>45332</v>
      </c>
      <c r="G235" s="1">
        <v>45367</v>
      </c>
      <c r="H235">
        <v>342178</v>
      </c>
      <c r="I235">
        <v>24568</v>
      </c>
      <c r="J235">
        <v>2918</v>
      </c>
      <c r="K235">
        <v>1647.48</v>
      </c>
      <c r="L235">
        <v>5743.42</v>
      </c>
      <c r="M235">
        <v>7.18</v>
      </c>
      <c r="N235">
        <v>11.88</v>
      </c>
      <c r="O235">
        <v>7.0000000000000007E-2</v>
      </c>
      <c r="P235">
        <v>0.56000000000000005</v>
      </c>
      <c r="Q235">
        <v>3.49</v>
      </c>
      <c r="R235">
        <v>248.62</v>
      </c>
    </row>
    <row r="236" spans="1:18" x14ac:dyDescent="0.3">
      <c r="A236" t="s">
        <v>500</v>
      </c>
      <c r="B236" t="s">
        <v>501</v>
      </c>
      <c r="C236" t="s">
        <v>44</v>
      </c>
      <c r="D236" t="s">
        <v>21</v>
      </c>
      <c r="E236" t="s">
        <v>31</v>
      </c>
      <c r="F236" s="1">
        <v>45312</v>
      </c>
      <c r="G236" s="1">
        <v>45323</v>
      </c>
      <c r="H236">
        <v>429891</v>
      </c>
      <c r="I236">
        <v>14444</v>
      </c>
      <c r="J236">
        <v>242</v>
      </c>
      <c r="K236">
        <v>7214.6</v>
      </c>
      <c r="L236">
        <v>34069.96</v>
      </c>
      <c r="M236">
        <v>3.36</v>
      </c>
      <c r="N236">
        <v>1.68</v>
      </c>
      <c r="O236">
        <v>0.5</v>
      </c>
      <c r="P236">
        <v>29.81</v>
      </c>
      <c r="Q236">
        <v>4.72</v>
      </c>
      <c r="R236">
        <v>372.24</v>
      </c>
    </row>
    <row r="237" spans="1:18" x14ac:dyDescent="0.3">
      <c r="A237" t="s">
        <v>502</v>
      </c>
      <c r="B237" t="s">
        <v>503</v>
      </c>
      <c r="C237" t="s">
        <v>29</v>
      </c>
      <c r="D237" t="s">
        <v>34</v>
      </c>
      <c r="E237" t="s">
        <v>38</v>
      </c>
      <c r="F237" s="1">
        <v>45389</v>
      </c>
      <c r="G237" s="1">
        <v>45403</v>
      </c>
      <c r="H237">
        <v>159518</v>
      </c>
      <c r="I237">
        <v>6556</v>
      </c>
      <c r="J237">
        <v>239</v>
      </c>
      <c r="K237">
        <v>17355.3</v>
      </c>
      <c r="L237">
        <v>35908.14</v>
      </c>
      <c r="M237">
        <v>4.1100000000000003</v>
      </c>
      <c r="N237">
        <v>3.66</v>
      </c>
      <c r="O237">
        <v>2.65</v>
      </c>
      <c r="P237">
        <v>72.62</v>
      </c>
      <c r="Q237">
        <v>2.0699999999999998</v>
      </c>
      <c r="R237">
        <v>106.9</v>
      </c>
    </row>
    <row r="238" spans="1:18" x14ac:dyDescent="0.3">
      <c r="A238" t="s">
        <v>504</v>
      </c>
      <c r="B238" t="s">
        <v>505</v>
      </c>
      <c r="C238" t="s">
        <v>25</v>
      </c>
      <c r="D238" t="s">
        <v>34</v>
      </c>
      <c r="E238" t="s">
        <v>31</v>
      </c>
      <c r="F238" s="1">
        <v>45486</v>
      </c>
      <c r="G238" s="1">
        <v>45522</v>
      </c>
      <c r="H238">
        <v>418977</v>
      </c>
      <c r="I238">
        <v>4818</v>
      </c>
      <c r="J238">
        <v>549</v>
      </c>
      <c r="K238">
        <v>12833.27</v>
      </c>
      <c r="L238">
        <v>70452.25</v>
      </c>
      <c r="M238">
        <v>1.1499999999999999</v>
      </c>
      <c r="N238">
        <v>11.41</v>
      </c>
      <c r="O238">
        <v>2.66</v>
      </c>
      <c r="P238">
        <v>23.38</v>
      </c>
      <c r="Q238">
        <v>5.49</v>
      </c>
      <c r="R238">
        <v>448.98</v>
      </c>
    </row>
    <row r="239" spans="1:18" x14ac:dyDescent="0.3">
      <c r="A239" t="s">
        <v>506</v>
      </c>
      <c r="B239" t="s">
        <v>507</v>
      </c>
      <c r="C239" t="s">
        <v>37</v>
      </c>
      <c r="D239" t="s">
        <v>57</v>
      </c>
      <c r="E239" t="s">
        <v>22</v>
      </c>
      <c r="F239" s="1">
        <v>45532</v>
      </c>
      <c r="G239" s="1">
        <v>45559</v>
      </c>
      <c r="H239">
        <v>187133</v>
      </c>
      <c r="I239">
        <v>11527</v>
      </c>
      <c r="J239">
        <v>1939</v>
      </c>
      <c r="K239">
        <v>2597.02</v>
      </c>
      <c r="L239">
        <v>14576.23</v>
      </c>
      <c r="M239">
        <v>6.16</v>
      </c>
      <c r="N239">
        <v>16.829999999999998</v>
      </c>
      <c r="O239">
        <v>0.23</v>
      </c>
      <c r="P239">
        <v>1.34</v>
      </c>
      <c r="Q239">
        <v>5.61</v>
      </c>
      <c r="R239">
        <v>461.27</v>
      </c>
    </row>
    <row r="240" spans="1:18" x14ac:dyDescent="0.3">
      <c r="A240" t="s">
        <v>508</v>
      </c>
      <c r="B240" t="s">
        <v>509</v>
      </c>
      <c r="C240" t="s">
        <v>29</v>
      </c>
      <c r="D240" t="s">
        <v>57</v>
      </c>
      <c r="E240" t="s">
        <v>22</v>
      </c>
      <c r="F240" s="1">
        <v>45575</v>
      </c>
      <c r="G240" s="1">
        <v>45619</v>
      </c>
      <c r="H240">
        <v>267018</v>
      </c>
      <c r="I240">
        <v>4379</v>
      </c>
      <c r="J240">
        <v>276</v>
      </c>
      <c r="K240">
        <v>14118.79</v>
      </c>
      <c r="L240">
        <v>29268.1</v>
      </c>
      <c r="M240">
        <v>1.64</v>
      </c>
      <c r="N240">
        <v>6.32</v>
      </c>
      <c r="O240">
        <v>3.22</v>
      </c>
      <c r="P240">
        <v>51.16</v>
      </c>
      <c r="Q240">
        <v>2.0699999999999998</v>
      </c>
      <c r="R240">
        <v>107.3</v>
      </c>
    </row>
    <row r="241" spans="1:18" x14ac:dyDescent="0.3">
      <c r="A241" t="s">
        <v>510</v>
      </c>
      <c r="B241" t="s">
        <v>511</v>
      </c>
      <c r="C241" t="s">
        <v>37</v>
      </c>
      <c r="D241" t="s">
        <v>30</v>
      </c>
      <c r="E241" t="s">
        <v>22</v>
      </c>
      <c r="F241" s="1">
        <v>45573</v>
      </c>
      <c r="G241" s="1">
        <v>45601</v>
      </c>
      <c r="H241">
        <v>129907</v>
      </c>
      <c r="I241">
        <v>6729</v>
      </c>
      <c r="J241">
        <v>693</v>
      </c>
      <c r="K241">
        <v>3064.05</v>
      </c>
      <c r="L241">
        <v>9516.2800000000007</v>
      </c>
      <c r="M241">
        <v>5.18</v>
      </c>
      <c r="N241">
        <v>10.3</v>
      </c>
      <c r="O241">
        <v>0.46</v>
      </c>
      <c r="P241">
        <v>4.42</v>
      </c>
      <c r="Q241">
        <v>3.11</v>
      </c>
      <c r="R241">
        <v>210.58</v>
      </c>
    </row>
    <row r="242" spans="1:18" x14ac:dyDescent="0.3">
      <c r="A242" t="s">
        <v>512</v>
      </c>
      <c r="B242" t="s">
        <v>513</v>
      </c>
      <c r="C242" t="s">
        <v>44</v>
      </c>
      <c r="D242" t="s">
        <v>30</v>
      </c>
      <c r="E242" t="s">
        <v>38</v>
      </c>
      <c r="F242" s="1">
        <v>45542</v>
      </c>
      <c r="G242" s="1">
        <v>45560</v>
      </c>
      <c r="H242">
        <v>291607</v>
      </c>
      <c r="I242">
        <v>4782</v>
      </c>
      <c r="J242">
        <v>204</v>
      </c>
      <c r="K242">
        <v>4615.82</v>
      </c>
      <c r="L242">
        <v>24193.41</v>
      </c>
      <c r="M242">
        <v>1.64</v>
      </c>
      <c r="N242">
        <v>4.28</v>
      </c>
      <c r="O242">
        <v>0.97</v>
      </c>
      <c r="P242">
        <v>22.63</v>
      </c>
      <c r="Q242">
        <v>5.24</v>
      </c>
      <c r="R242">
        <v>424.14</v>
      </c>
    </row>
    <row r="243" spans="1:18" x14ac:dyDescent="0.3">
      <c r="A243" t="s">
        <v>514</v>
      </c>
      <c r="B243" t="s">
        <v>515</v>
      </c>
      <c r="C243" t="s">
        <v>37</v>
      </c>
      <c r="D243" t="s">
        <v>21</v>
      </c>
      <c r="E243" t="s">
        <v>31</v>
      </c>
      <c r="F243" s="1">
        <v>45295</v>
      </c>
      <c r="G243" s="1">
        <v>45328</v>
      </c>
      <c r="H243">
        <v>67733</v>
      </c>
      <c r="I243">
        <v>6116</v>
      </c>
      <c r="J243">
        <v>534</v>
      </c>
      <c r="K243">
        <v>4180.9799999999996</v>
      </c>
      <c r="L243">
        <v>9274.73</v>
      </c>
      <c r="M243">
        <v>9.0299999999999994</v>
      </c>
      <c r="N243">
        <v>8.74</v>
      </c>
      <c r="O243">
        <v>0.68</v>
      </c>
      <c r="P243">
        <v>7.83</v>
      </c>
      <c r="Q243">
        <v>2.2200000000000002</v>
      </c>
      <c r="R243">
        <v>121.83</v>
      </c>
    </row>
    <row r="244" spans="1:18" x14ac:dyDescent="0.3">
      <c r="A244" t="s">
        <v>516</v>
      </c>
      <c r="B244" t="s">
        <v>517</v>
      </c>
      <c r="C244" t="s">
        <v>29</v>
      </c>
      <c r="D244" t="s">
        <v>34</v>
      </c>
      <c r="E244" t="s">
        <v>26</v>
      </c>
      <c r="F244" s="1">
        <v>45618</v>
      </c>
      <c r="G244" s="1">
        <v>45655</v>
      </c>
      <c r="H244">
        <v>420760</v>
      </c>
      <c r="I244">
        <v>8204</v>
      </c>
      <c r="J244">
        <v>253</v>
      </c>
      <c r="K244">
        <v>9840.14</v>
      </c>
      <c r="L244">
        <v>22357.05</v>
      </c>
      <c r="M244">
        <v>1.95</v>
      </c>
      <c r="N244">
        <v>3.09</v>
      </c>
      <c r="O244">
        <v>1.2</v>
      </c>
      <c r="P244">
        <v>38.89</v>
      </c>
      <c r="Q244">
        <v>2.27</v>
      </c>
      <c r="R244">
        <v>127.2</v>
      </c>
    </row>
    <row r="245" spans="1:18" x14ac:dyDescent="0.3">
      <c r="A245" t="s">
        <v>518</v>
      </c>
      <c r="B245" t="s">
        <v>519</v>
      </c>
      <c r="C245" t="s">
        <v>25</v>
      </c>
      <c r="D245" t="s">
        <v>21</v>
      </c>
      <c r="E245" t="s">
        <v>26</v>
      </c>
      <c r="F245" s="1">
        <v>45438</v>
      </c>
      <c r="G245" s="1">
        <v>45446</v>
      </c>
      <c r="H245">
        <v>329032</v>
      </c>
      <c r="I245">
        <v>5725</v>
      </c>
      <c r="J245">
        <v>290</v>
      </c>
      <c r="K245">
        <v>12470.68</v>
      </c>
      <c r="L245">
        <v>40359.279999999999</v>
      </c>
      <c r="M245">
        <v>1.74</v>
      </c>
      <c r="N245">
        <v>5.08</v>
      </c>
      <c r="O245">
        <v>2.1800000000000002</v>
      </c>
      <c r="P245">
        <v>43</v>
      </c>
      <c r="Q245">
        <v>3.24</v>
      </c>
      <c r="R245">
        <v>223.63</v>
      </c>
    </row>
    <row r="246" spans="1:18" x14ac:dyDescent="0.3">
      <c r="A246" t="s">
        <v>520</v>
      </c>
      <c r="B246" t="s">
        <v>521</v>
      </c>
      <c r="C246" t="s">
        <v>37</v>
      </c>
      <c r="D246" t="s">
        <v>30</v>
      </c>
      <c r="E246" t="s">
        <v>41</v>
      </c>
      <c r="F246" s="1">
        <v>45421</v>
      </c>
      <c r="G246" s="1">
        <v>45450</v>
      </c>
      <c r="H246">
        <v>106107</v>
      </c>
      <c r="I246">
        <v>10090</v>
      </c>
      <c r="J246">
        <v>1335</v>
      </c>
      <c r="K246">
        <v>1584.36</v>
      </c>
      <c r="L246">
        <v>7587.52</v>
      </c>
      <c r="M246">
        <v>9.51</v>
      </c>
      <c r="N246">
        <v>13.24</v>
      </c>
      <c r="O246">
        <v>0.16</v>
      </c>
      <c r="P246">
        <v>1.19</v>
      </c>
      <c r="Q246">
        <v>4.79</v>
      </c>
      <c r="R246">
        <v>378.9</v>
      </c>
    </row>
    <row r="247" spans="1:18" x14ac:dyDescent="0.3">
      <c r="A247" t="s">
        <v>522</v>
      </c>
      <c r="B247" t="s">
        <v>523</v>
      </c>
      <c r="C247" t="s">
        <v>44</v>
      </c>
      <c r="D247" t="s">
        <v>30</v>
      </c>
      <c r="E247" t="s">
        <v>26</v>
      </c>
      <c r="F247" s="1">
        <v>45445</v>
      </c>
      <c r="G247" s="1">
        <v>45457</v>
      </c>
      <c r="H247">
        <v>245586</v>
      </c>
      <c r="I247">
        <v>9062</v>
      </c>
      <c r="J247">
        <v>281</v>
      </c>
      <c r="K247">
        <v>5540.1</v>
      </c>
      <c r="L247">
        <v>28462.62</v>
      </c>
      <c r="M247">
        <v>3.69</v>
      </c>
      <c r="N247">
        <v>3.11</v>
      </c>
      <c r="O247">
        <v>0.61</v>
      </c>
      <c r="P247">
        <v>19.72</v>
      </c>
      <c r="Q247">
        <v>5.14</v>
      </c>
      <c r="R247">
        <v>413.76</v>
      </c>
    </row>
    <row r="248" spans="1:18" x14ac:dyDescent="0.3">
      <c r="A248" t="s">
        <v>524</v>
      </c>
      <c r="B248" t="s">
        <v>525</v>
      </c>
      <c r="C248" t="s">
        <v>20</v>
      </c>
      <c r="D248" t="s">
        <v>21</v>
      </c>
      <c r="E248" t="s">
        <v>38</v>
      </c>
      <c r="F248" s="1">
        <v>45334</v>
      </c>
      <c r="G248" s="1">
        <v>45372</v>
      </c>
      <c r="H248">
        <v>248843</v>
      </c>
      <c r="I248">
        <v>9978</v>
      </c>
      <c r="J248">
        <v>684</v>
      </c>
      <c r="K248">
        <v>17734.96</v>
      </c>
      <c r="L248">
        <v>91562.11</v>
      </c>
      <c r="M248">
        <v>4.01</v>
      </c>
      <c r="N248">
        <v>6.86</v>
      </c>
      <c r="O248">
        <v>1.78</v>
      </c>
      <c r="P248">
        <v>25.93</v>
      </c>
      <c r="Q248">
        <v>5.16</v>
      </c>
      <c r="R248">
        <v>416.28</v>
      </c>
    </row>
    <row r="249" spans="1:18" x14ac:dyDescent="0.3">
      <c r="A249" t="s">
        <v>526</v>
      </c>
      <c r="B249" t="s">
        <v>527</v>
      </c>
      <c r="C249" t="s">
        <v>25</v>
      </c>
      <c r="D249" t="s">
        <v>57</v>
      </c>
      <c r="E249" t="s">
        <v>31</v>
      </c>
      <c r="F249" s="1">
        <v>45582</v>
      </c>
      <c r="G249" s="1">
        <v>45619</v>
      </c>
      <c r="H249">
        <v>499818</v>
      </c>
      <c r="I249">
        <v>12295</v>
      </c>
      <c r="J249">
        <v>1384</v>
      </c>
      <c r="K249">
        <v>18706.439999999999</v>
      </c>
      <c r="L249">
        <v>56754.39</v>
      </c>
      <c r="M249">
        <v>2.46</v>
      </c>
      <c r="N249">
        <v>11.26</v>
      </c>
      <c r="O249">
        <v>1.52</v>
      </c>
      <c r="P249">
        <v>13.52</v>
      </c>
      <c r="Q249">
        <v>3.03</v>
      </c>
      <c r="R249">
        <v>203.39</v>
      </c>
    </row>
    <row r="250" spans="1:18" x14ac:dyDescent="0.3">
      <c r="A250" t="s">
        <v>528</v>
      </c>
      <c r="B250" t="s">
        <v>529</v>
      </c>
      <c r="C250" t="s">
        <v>44</v>
      </c>
      <c r="D250" t="s">
        <v>21</v>
      </c>
      <c r="E250" t="s">
        <v>26</v>
      </c>
      <c r="F250" s="1">
        <v>45453</v>
      </c>
      <c r="G250" s="1">
        <v>45461</v>
      </c>
      <c r="H250">
        <v>408837</v>
      </c>
      <c r="I250">
        <v>14759</v>
      </c>
      <c r="J250">
        <v>686</v>
      </c>
      <c r="K250">
        <v>9543.8700000000008</v>
      </c>
      <c r="L250">
        <v>20500.79</v>
      </c>
      <c r="M250">
        <v>3.61</v>
      </c>
      <c r="N250">
        <v>4.6500000000000004</v>
      </c>
      <c r="O250">
        <v>0.65</v>
      </c>
      <c r="P250">
        <v>13.91</v>
      </c>
      <c r="Q250">
        <v>2.15</v>
      </c>
      <c r="R250">
        <v>114.81</v>
      </c>
    </row>
    <row r="251" spans="1:18" x14ac:dyDescent="0.3">
      <c r="A251" t="s">
        <v>530</v>
      </c>
      <c r="B251" t="s">
        <v>531</v>
      </c>
      <c r="C251" t="s">
        <v>29</v>
      </c>
      <c r="D251" t="s">
        <v>34</v>
      </c>
      <c r="E251" t="s">
        <v>38</v>
      </c>
      <c r="F251" s="1">
        <v>45568</v>
      </c>
      <c r="G251" s="1">
        <v>45596</v>
      </c>
      <c r="H251">
        <v>90337</v>
      </c>
      <c r="I251">
        <v>2168</v>
      </c>
      <c r="J251">
        <v>104</v>
      </c>
      <c r="K251">
        <v>11500.44</v>
      </c>
      <c r="L251">
        <v>66961.210000000006</v>
      </c>
      <c r="M251">
        <v>2.4</v>
      </c>
      <c r="N251">
        <v>4.82</v>
      </c>
      <c r="O251">
        <v>5.3</v>
      </c>
      <c r="P251">
        <v>110.58</v>
      </c>
      <c r="Q251">
        <v>5.82</v>
      </c>
      <c r="R251">
        <v>482.25</v>
      </c>
    </row>
    <row r="252" spans="1:18" x14ac:dyDescent="0.3">
      <c r="A252" t="s">
        <v>532</v>
      </c>
      <c r="B252" t="s">
        <v>533</v>
      </c>
      <c r="C252" t="s">
        <v>25</v>
      </c>
      <c r="D252" t="s">
        <v>34</v>
      </c>
      <c r="E252" t="s">
        <v>26</v>
      </c>
      <c r="F252" s="1">
        <v>45330</v>
      </c>
      <c r="G252" s="1">
        <v>45358</v>
      </c>
      <c r="H252">
        <v>312559</v>
      </c>
      <c r="I252">
        <v>6469</v>
      </c>
      <c r="J252">
        <v>479</v>
      </c>
      <c r="K252">
        <v>5562.97</v>
      </c>
      <c r="L252">
        <v>16937.29</v>
      </c>
      <c r="M252">
        <v>2.0699999999999998</v>
      </c>
      <c r="N252">
        <v>7.42</v>
      </c>
      <c r="O252">
        <v>0.86</v>
      </c>
      <c r="P252">
        <v>11.61</v>
      </c>
      <c r="Q252">
        <v>3.04</v>
      </c>
      <c r="R252">
        <v>204.46</v>
      </c>
    </row>
    <row r="253" spans="1:18" x14ac:dyDescent="0.3">
      <c r="A253" t="s">
        <v>534</v>
      </c>
      <c r="B253" t="s">
        <v>535</v>
      </c>
      <c r="C253" t="s">
        <v>37</v>
      </c>
      <c r="D253" t="s">
        <v>30</v>
      </c>
      <c r="E253" t="s">
        <v>22</v>
      </c>
      <c r="F253" s="1">
        <v>45575</v>
      </c>
      <c r="G253" s="1">
        <v>45606</v>
      </c>
      <c r="H253">
        <v>65532</v>
      </c>
      <c r="I253">
        <v>5111</v>
      </c>
      <c r="J253">
        <v>809</v>
      </c>
      <c r="K253">
        <v>2527.48</v>
      </c>
      <c r="L253">
        <v>7649.73</v>
      </c>
      <c r="M253">
        <v>7.8</v>
      </c>
      <c r="N253">
        <v>15.84</v>
      </c>
      <c r="O253">
        <v>0.49</v>
      </c>
      <c r="P253">
        <v>3.12</v>
      </c>
      <c r="Q253">
        <v>3.03</v>
      </c>
      <c r="R253">
        <v>202.66</v>
      </c>
    </row>
    <row r="254" spans="1:18" x14ac:dyDescent="0.3">
      <c r="A254" t="s">
        <v>536</v>
      </c>
      <c r="B254" t="s">
        <v>537</v>
      </c>
      <c r="C254" t="s">
        <v>25</v>
      </c>
      <c r="D254" t="s">
        <v>34</v>
      </c>
      <c r="E254" t="s">
        <v>31</v>
      </c>
      <c r="F254" s="1">
        <v>45329</v>
      </c>
      <c r="G254" s="1">
        <v>45341</v>
      </c>
      <c r="H254">
        <v>396382</v>
      </c>
      <c r="I254">
        <v>5747</v>
      </c>
      <c r="J254">
        <v>598</v>
      </c>
      <c r="K254">
        <v>8726.07</v>
      </c>
      <c r="L254">
        <v>27129.56</v>
      </c>
      <c r="M254">
        <v>1.45</v>
      </c>
      <c r="N254">
        <v>10.41</v>
      </c>
      <c r="O254">
        <v>1.52</v>
      </c>
      <c r="P254">
        <v>14.59</v>
      </c>
      <c r="Q254">
        <v>3.11</v>
      </c>
      <c r="R254">
        <v>210.9</v>
      </c>
    </row>
    <row r="255" spans="1:18" x14ac:dyDescent="0.3">
      <c r="A255" t="s">
        <v>538</v>
      </c>
      <c r="B255" t="s">
        <v>539</v>
      </c>
      <c r="C255" t="s">
        <v>44</v>
      </c>
      <c r="D255" t="s">
        <v>34</v>
      </c>
      <c r="E255" t="s">
        <v>38</v>
      </c>
      <c r="F255" s="1">
        <v>45338</v>
      </c>
      <c r="G255" s="1">
        <v>45345</v>
      </c>
      <c r="H255">
        <v>423123</v>
      </c>
      <c r="I255">
        <v>13709</v>
      </c>
      <c r="J255">
        <v>279</v>
      </c>
      <c r="K255">
        <v>7370.27</v>
      </c>
      <c r="L255">
        <v>26703.599999999999</v>
      </c>
      <c r="M255">
        <v>3.24</v>
      </c>
      <c r="N255">
        <v>2.04</v>
      </c>
      <c r="O255">
        <v>0.54</v>
      </c>
      <c r="P255">
        <v>26.42</v>
      </c>
      <c r="Q255">
        <v>3.62</v>
      </c>
      <c r="R255">
        <v>262.32</v>
      </c>
    </row>
    <row r="256" spans="1:18" x14ac:dyDescent="0.3">
      <c r="A256" t="s">
        <v>540</v>
      </c>
      <c r="B256" t="s">
        <v>541</v>
      </c>
      <c r="C256" t="s">
        <v>44</v>
      </c>
      <c r="D256" t="s">
        <v>30</v>
      </c>
      <c r="E256" t="s">
        <v>22</v>
      </c>
      <c r="F256" s="1">
        <v>45576</v>
      </c>
      <c r="G256" s="1">
        <v>45615</v>
      </c>
      <c r="H256">
        <v>449164</v>
      </c>
      <c r="I256">
        <v>8534</v>
      </c>
      <c r="J256">
        <v>167</v>
      </c>
      <c r="K256">
        <v>4842.3999999999996</v>
      </c>
      <c r="L256">
        <v>19465.46</v>
      </c>
      <c r="M256">
        <v>1.9</v>
      </c>
      <c r="N256">
        <v>1.96</v>
      </c>
      <c r="O256">
        <v>0.56999999999999995</v>
      </c>
      <c r="P256">
        <v>29</v>
      </c>
      <c r="Q256">
        <v>4.0199999999999996</v>
      </c>
      <c r="R256">
        <v>301.98</v>
      </c>
    </row>
    <row r="257" spans="1:18" x14ac:dyDescent="0.3">
      <c r="A257" t="s">
        <v>542</v>
      </c>
      <c r="B257" t="s">
        <v>543</v>
      </c>
      <c r="C257" t="s">
        <v>25</v>
      </c>
      <c r="D257" t="s">
        <v>21</v>
      </c>
      <c r="E257" t="s">
        <v>26</v>
      </c>
      <c r="F257" s="1">
        <v>45489</v>
      </c>
      <c r="G257" s="1">
        <v>45496</v>
      </c>
      <c r="H257">
        <v>96986</v>
      </c>
      <c r="I257">
        <v>1357</v>
      </c>
      <c r="J257">
        <v>76</v>
      </c>
      <c r="K257">
        <v>13568.7</v>
      </c>
      <c r="L257">
        <v>46946.84</v>
      </c>
      <c r="M257">
        <v>1.4</v>
      </c>
      <c r="N257">
        <v>5.65</v>
      </c>
      <c r="O257">
        <v>10</v>
      </c>
      <c r="P257">
        <v>178.54</v>
      </c>
      <c r="Q257">
        <v>3.46</v>
      </c>
      <c r="R257">
        <v>245.99</v>
      </c>
    </row>
    <row r="258" spans="1:18" x14ac:dyDescent="0.3">
      <c r="A258" t="s">
        <v>544</v>
      </c>
      <c r="B258" t="s">
        <v>545</v>
      </c>
      <c r="C258" t="s">
        <v>44</v>
      </c>
      <c r="D258" t="s">
        <v>30</v>
      </c>
      <c r="E258" t="s">
        <v>38</v>
      </c>
      <c r="F258" s="1">
        <v>45584</v>
      </c>
      <c r="G258" s="1">
        <v>45624</v>
      </c>
      <c r="H258">
        <v>458509</v>
      </c>
      <c r="I258">
        <v>6510</v>
      </c>
      <c r="J258">
        <v>302</v>
      </c>
      <c r="K258">
        <v>13815.09</v>
      </c>
      <c r="L258">
        <v>88441.15</v>
      </c>
      <c r="M258">
        <v>1.42</v>
      </c>
      <c r="N258">
        <v>4.6500000000000004</v>
      </c>
      <c r="O258">
        <v>2.12</v>
      </c>
      <c r="P258">
        <v>45.75</v>
      </c>
      <c r="Q258">
        <v>6.4</v>
      </c>
      <c r="R258">
        <v>540.17999999999995</v>
      </c>
    </row>
    <row r="259" spans="1:18" x14ac:dyDescent="0.3">
      <c r="A259" t="s">
        <v>546</v>
      </c>
      <c r="B259" t="s">
        <v>547</v>
      </c>
      <c r="C259" t="s">
        <v>29</v>
      </c>
      <c r="D259" t="s">
        <v>30</v>
      </c>
      <c r="E259" t="s">
        <v>41</v>
      </c>
      <c r="F259" s="1">
        <v>45433</v>
      </c>
      <c r="G259" s="1">
        <v>45466</v>
      </c>
      <c r="H259">
        <v>122792</v>
      </c>
      <c r="I259">
        <v>2836</v>
      </c>
      <c r="J259">
        <v>94</v>
      </c>
      <c r="K259">
        <v>5189.0200000000004</v>
      </c>
      <c r="L259">
        <v>14282.43</v>
      </c>
      <c r="M259">
        <v>2.31</v>
      </c>
      <c r="N259">
        <v>3.34</v>
      </c>
      <c r="O259">
        <v>1.83</v>
      </c>
      <c r="P259">
        <v>55.2</v>
      </c>
      <c r="Q259">
        <v>2.75</v>
      </c>
      <c r="R259">
        <v>175.24</v>
      </c>
    </row>
    <row r="260" spans="1:18" x14ac:dyDescent="0.3">
      <c r="A260" t="s">
        <v>548</v>
      </c>
      <c r="B260" t="s">
        <v>549</v>
      </c>
      <c r="C260" t="s">
        <v>44</v>
      </c>
      <c r="D260" t="s">
        <v>30</v>
      </c>
      <c r="E260" t="s">
        <v>26</v>
      </c>
      <c r="F260" s="1">
        <v>45392</v>
      </c>
      <c r="G260" s="1">
        <v>45428</v>
      </c>
      <c r="H260">
        <v>239333</v>
      </c>
      <c r="I260">
        <v>4427</v>
      </c>
      <c r="J260">
        <v>104</v>
      </c>
      <c r="K260">
        <v>10312.92</v>
      </c>
      <c r="L260">
        <v>48183.29</v>
      </c>
      <c r="M260">
        <v>1.85</v>
      </c>
      <c r="N260">
        <v>2.36</v>
      </c>
      <c r="O260">
        <v>2.33</v>
      </c>
      <c r="P260">
        <v>99.16</v>
      </c>
      <c r="Q260">
        <v>4.67</v>
      </c>
      <c r="R260">
        <v>367.21</v>
      </c>
    </row>
    <row r="261" spans="1:18" x14ac:dyDescent="0.3">
      <c r="A261" t="s">
        <v>550</v>
      </c>
      <c r="B261" t="s">
        <v>551</v>
      </c>
      <c r="C261" t="s">
        <v>20</v>
      </c>
      <c r="D261" t="s">
        <v>34</v>
      </c>
      <c r="E261" t="s">
        <v>22</v>
      </c>
      <c r="F261" s="1">
        <v>45460</v>
      </c>
      <c r="G261" s="1">
        <v>45495</v>
      </c>
      <c r="H261">
        <v>53548</v>
      </c>
      <c r="I261">
        <v>3373</v>
      </c>
      <c r="J261">
        <v>202</v>
      </c>
      <c r="K261">
        <v>17403.84</v>
      </c>
      <c r="L261">
        <v>97780.76</v>
      </c>
      <c r="M261">
        <v>6.3</v>
      </c>
      <c r="N261">
        <v>5.99</v>
      </c>
      <c r="O261">
        <v>5.16</v>
      </c>
      <c r="P261">
        <v>86.16</v>
      </c>
      <c r="Q261">
        <v>5.62</v>
      </c>
      <c r="R261">
        <v>461.83</v>
      </c>
    </row>
    <row r="262" spans="1:18" x14ac:dyDescent="0.3">
      <c r="A262" t="s">
        <v>552</v>
      </c>
      <c r="B262" t="s">
        <v>553</v>
      </c>
      <c r="C262" t="s">
        <v>44</v>
      </c>
      <c r="D262" t="s">
        <v>30</v>
      </c>
      <c r="E262" t="s">
        <v>31</v>
      </c>
      <c r="F262" s="1">
        <v>45382</v>
      </c>
      <c r="G262" s="1">
        <v>45414</v>
      </c>
      <c r="H262">
        <v>121368</v>
      </c>
      <c r="I262">
        <v>2403</v>
      </c>
      <c r="J262">
        <v>86</v>
      </c>
      <c r="K262">
        <v>11191.15</v>
      </c>
      <c r="L262">
        <v>46505.31</v>
      </c>
      <c r="M262">
        <v>1.98</v>
      </c>
      <c r="N262">
        <v>3.61</v>
      </c>
      <c r="O262">
        <v>4.66</v>
      </c>
      <c r="P262">
        <v>130.13</v>
      </c>
      <c r="Q262">
        <v>4.16</v>
      </c>
      <c r="R262">
        <v>315.55</v>
      </c>
    </row>
    <row r="263" spans="1:18" x14ac:dyDescent="0.3">
      <c r="A263" t="s">
        <v>554</v>
      </c>
      <c r="B263" t="s">
        <v>555</v>
      </c>
      <c r="C263" t="s">
        <v>44</v>
      </c>
      <c r="D263" t="s">
        <v>57</v>
      </c>
      <c r="E263" t="s">
        <v>38</v>
      </c>
      <c r="F263" s="1">
        <v>45478</v>
      </c>
      <c r="G263" s="1">
        <v>45492</v>
      </c>
      <c r="H263">
        <v>351926</v>
      </c>
      <c r="I263">
        <v>11367</v>
      </c>
      <c r="J263">
        <v>300</v>
      </c>
      <c r="K263">
        <v>6003.75</v>
      </c>
      <c r="L263">
        <v>33239.160000000003</v>
      </c>
      <c r="M263">
        <v>3.23</v>
      </c>
      <c r="N263">
        <v>2.64</v>
      </c>
      <c r="O263">
        <v>0.53</v>
      </c>
      <c r="P263">
        <v>20.010000000000002</v>
      </c>
      <c r="Q263">
        <v>5.54</v>
      </c>
      <c r="R263">
        <v>453.64</v>
      </c>
    </row>
    <row r="264" spans="1:18" x14ac:dyDescent="0.3">
      <c r="A264" t="s">
        <v>556</v>
      </c>
      <c r="B264" t="s">
        <v>557</v>
      </c>
      <c r="C264" t="s">
        <v>37</v>
      </c>
      <c r="D264" t="s">
        <v>34</v>
      </c>
      <c r="E264" t="s">
        <v>31</v>
      </c>
      <c r="F264" s="1">
        <v>45399</v>
      </c>
      <c r="G264" s="1">
        <v>45434</v>
      </c>
      <c r="H264">
        <v>336066</v>
      </c>
      <c r="I264">
        <v>17072</v>
      </c>
      <c r="J264">
        <v>2676</v>
      </c>
      <c r="K264">
        <v>621.12</v>
      </c>
      <c r="L264">
        <v>3274.83</v>
      </c>
      <c r="M264">
        <v>5.08</v>
      </c>
      <c r="N264">
        <v>15.68</v>
      </c>
      <c r="O264">
        <v>0.04</v>
      </c>
      <c r="P264">
        <v>0.23</v>
      </c>
      <c r="Q264">
        <v>5.27</v>
      </c>
      <c r="R264">
        <v>427.25</v>
      </c>
    </row>
    <row r="265" spans="1:18" x14ac:dyDescent="0.3">
      <c r="A265" t="s">
        <v>558</v>
      </c>
      <c r="B265" t="s">
        <v>559</v>
      </c>
      <c r="C265" t="s">
        <v>44</v>
      </c>
      <c r="D265" t="s">
        <v>21</v>
      </c>
      <c r="E265" t="s">
        <v>38</v>
      </c>
      <c r="F265" s="1">
        <v>45508</v>
      </c>
      <c r="G265" s="1">
        <v>45539</v>
      </c>
      <c r="H265">
        <v>402834</v>
      </c>
      <c r="I265">
        <v>10070</v>
      </c>
      <c r="J265">
        <v>374</v>
      </c>
      <c r="K265">
        <v>5525.26</v>
      </c>
      <c r="L265">
        <v>27427.3</v>
      </c>
      <c r="M265">
        <v>2.5</v>
      </c>
      <c r="N265">
        <v>3.72</v>
      </c>
      <c r="O265">
        <v>0.55000000000000004</v>
      </c>
      <c r="P265">
        <v>14.77</v>
      </c>
      <c r="Q265">
        <v>4.96</v>
      </c>
      <c r="R265">
        <v>396.4</v>
      </c>
    </row>
    <row r="266" spans="1:18" x14ac:dyDescent="0.3">
      <c r="A266" t="s">
        <v>560</v>
      </c>
      <c r="B266" t="s">
        <v>561</v>
      </c>
      <c r="C266" t="s">
        <v>20</v>
      </c>
      <c r="D266" t="s">
        <v>30</v>
      </c>
      <c r="E266" t="s">
        <v>31</v>
      </c>
      <c r="F266" s="1">
        <v>45506</v>
      </c>
      <c r="G266" s="1">
        <v>45547</v>
      </c>
      <c r="H266">
        <v>301257</v>
      </c>
      <c r="I266">
        <v>14550</v>
      </c>
      <c r="J266">
        <v>1049</v>
      </c>
      <c r="K266">
        <v>23469.919999999998</v>
      </c>
      <c r="L266">
        <v>138785.89000000001</v>
      </c>
      <c r="M266">
        <v>4.83</v>
      </c>
      <c r="N266">
        <v>7.21</v>
      </c>
      <c r="O266">
        <v>1.61</v>
      </c>
      <c r="P266">
        <v>22.37</v>
      </c>
      <c r="Q266">
        <v>5.91</v>
      </c>
      <c r="R266">
        <v>491.34</v>
      </c>
    </row>
    <row r="267" spans="1:18" x14ac:dyDescent="0.3">
      <c r="A267" t="s">
        <v>562</v>
      </c>
      <c r="B267" t="s">
        <v>563</v>
      </c>
      <c r="C267" t="s">
        <v>20</v>
      </c>
      <c r="D267" t="s">
        <v>57</v>
      </c>
      <c r="E267" t="s">
        <v>31</v>
      </c>
      <c r="F267" s="1">
        <v>45473</v>
      </c>
      <c r="G267" s="1">
        <v>45490</v>
      </c>
      <c r="H267">
        <v>361332</v>
      </c>
      <c r="I267">
        <v>18247</v>
      </c>
      <c r="J267">
        <v>822</v>
      </c>
      <c r="K267">
        <v>20379.080000000002</v>
      </c>
      <c r="L267">
        <v>101064.08</v>
      </c>
      <c r="M267">
        <v>5.05</v>
      </c>
      <c r="N267">
        <v>4.51</v>
      </c>
      <c r="O267">
        <v>1.1200000000000001</v>
      </c>
      <c r="P267">
        <v>24.79</v>
      </c>
      <c r="Q267">
        <v>4.96</v>
      </c>
      <c r="R267">
        <v>395.92</v>
      </c>
    </row>
    <row r="268" spans="1:18" x14ac:dyDescent="0.3">
      <c r="A268" t="s">
        <v>564</v>
      </c>
      <c r="B268" t="s">
        <v>565</v>
      </c>
      <c r="C268" t="s">
        <v>37</v>
      </c>
      <c r="D268" t="s">
        <v>21</v>
      </c>
      <c r="E268" t="s">
        <v>31</v>
      </c>
      <c r="F268" s="1">
        <v>45512</v>
      </c>
      <c r="G268" s="1">
        <v>45525</v>
      </c>
      <c r="H268">
        <v>388182</v>
      </c>
      <c r="I268">
        <v>31287</v>
      </c>
      <c r="J268">
        <v>3754</v>
      </c>
      <c r="K268">
        <v>3887.07</v>
      </c>
      <c r="L268">
        <v>24666.28</v>
      </c>
      <c r="M268">
        <v>8.06</v>
      </c>
      <c r="N268">
        <v>12</v>
      </c>
      <c r="O268">
        <v>0.12</v>
      </c>
      <c r="P268">
        <v>1.04</v>
      </c>
      <c r="Q268">
        <v>6.35</v>
      </c>
      <c r="R268">
        <v>534.57000000000005</v>
      </c>
    </row>
    <row r="269" spans="1:18" x14ac:dyDescent="0.3">
      <c r="A269" t="s">
        <v>566</v>
      </c>
      <c r="B269" t="s">
        <v>567</v>
      </c>
      <c r="C269" t="s">
        <v>20</v>
      </c>
      <c r="D269" t="s">
        <v>21</v>
      </c>
      <c r="E269" t="s">
        <v>22</v>
      </c>
      <c r="F269" s="1">
        <v>45520</v>
      </c>
      <c r="G269" s="1">
        <v>45550</v>
      </c>
      <c r="H269">
        <v>166392</v>
      </c>
      <c r="I269">
        <v>7554</v>
      </c>
      <c r="J269">
        <v>537</v>
      </c>
      <c r="K269">
        <v>16610.37</v>
      </c>
      <c r="L269">
        <v>76217.67</v>
      </c>
      <c r="M269">
        <v>4.54</v>
      </c>
      <c r="N269">
        <v>7.11</v>
      </c>
      <c r="O269">
        <v>2.2000000000000002</v>
      </c>
      <c r="P269">
        <v>30.93</v>
      </c>
      <c r="Q269">
        <v>4.59</v>
      </c>
      <c r="R269">
        <v>358.86</v>
      </c>
    </row>
    <row r="270" spans="1:18" x14ac:dyDescent="0.3">
      <c r="A270" t="s">
        <v>568</v>
      </c>
      <c r="B270" t="s">
        <v>569</v>
      </c>
      <c r="C270" t="s">
        <v>25</v>
      </c>
      <c r="D270" t="s">
        <v>30</v>
      </c>
      <c r="E270" t="s">
        <v>31</v>
      </c>
      <c r="F270" s="1">
        <v>45504</v>
      </c>
      <c r="G270" s="1">
        <v>45516</v>
      </c>
      <c r="H270">
        <v>411987</v>
      </c>
      <c r="I270">
        <v>6797</v>
      </c>
      <c r="J270">
        <v>503</v>
      </c>
      <c r="K270">
        <v>4393</v>
      </c>
      <c r="L270">
        <v>10852.78</v>
      </c>
      <c r="M270">
        <v>1.65</v>
      </c>
      <c r="N270">
        <v>7.41</v>
      </c>
      <c r="O270">
        <v>0.65</v>
      </c>
      <c r="P270">
        <v>8.73</v>
      </c>
      <c r="Q270">
        <v>2.4700000000000002</v>
      </c>
      <c r="R270">
        <v>147.05000000000001</v>
      </c>
    </row>
    <row r="271" spans="1:18" x14ac:dyDescent="0.3">
      <c r="A271" t="s">
        <v>570</v>
      </c>
      <c r="B271" t="s">
        <v>571</v>
      </c>
      <c r="C271" t="s">
        <v>20</v>
      </c>
      <c r="D271" t="s">
        <v>34</v>
      </c>
      <c r="E271" t="s">
        <v>22</v>
      </c>
      <c r="F271" s="1">
        <v>45341</v>
      </c>
      <c r="G271" s="1">
        <v>45376</v>
      </c>
      <c r="H271">
        <v>213520</v>
      </c>
      <c r="I271">
        <v>8263</v>
      </c>
      <c r="J271">
        <v>719</v>
      </c>
      <c r="K271">
        <v>15422.3</v>
      </c>
      <c r="L271">
        <v>55016.76</v>
      </c>
      <c r="M271">
        <v>3.87</v>
      </c>
      <c r="N271">
        <v>8.7100000000000009</v>
      </c>
      <c r="O271">
        <v>1.87</v>
      </c>
      <c r="P271">
        <v>21.45</v>
      </c>
      <c r="Q271">
        <v>3.57</v>
      </c>
      <c r="R271">
        <v>256.74</v>
      </c>
    </row>
    <row r="272" spans="1:18" x14ac:dyDescent="0.3">
      <c r="A272" t="s">
        <v>572</v>
      </c>
      <c r="B272" t="s">
        <v>573</v>
      </c>
      <c r="C272" t="s">
        <v>25</v>
      </c>
      <c r="D272" t="s">
        <v>57</v>
      </c>
      <c r="E272" t="s">
        <v>26</v>
      </c>
      <c r="F272" s="1">
        <v>45347</v>
      </c>
      <c r="G272" s="1">
        <v>45364</v>
      </c>
      <c r="H272">
        <v>207424</v>
      </c>
      <c r="I272">
        <v>1825</v>
      </c>
      <c r="J272">
        <v>182</v>
      </c>
      <c r="K272">
        <v>4361.3599999999997</v>
      </c>
      <c r="L272">
        <v>15456.01</v>
      </c>
      <c r="M272">
        <v>0.88</v>
      </c>
      <c r="N272">
        <v>9.98</v>
      </c>
      <c r="O272">
        <v>2.39</v>
      </c>
      <c r="P272">
        <v>23.96</v>
      </c>
      <c r="Q272">
        <v>3.54</v>
      </c>
      <c r="R272">
        <v>254.39</v>
      </c>
    </row>
    <row r="273" spans="1:18" x14ac:dyDescent="0.3">
      <c r="A273" t="s">
        <v>574</v>
      </c>
      <c r="B273" t="s">
        <v>575</v>
      </c>
      <c r="C273" t="s">
        <v>29</v>
      </c>
      <c r="D273" t="s">
        <v>34</v>
      </c>
      <c r="E273" t="s">
        <v>31</v>
      </c>
      <c r="F273" s="1">
        <v>45614</v>
      </c>
      <c r="G273" s="1">
        <v>45632</v>
      </c>
      <c r="H273">
        <v>133957</v>
      </c>
      <c r="I273">
        <v>3335</v>
      </c>
      <c r="J273">
        <v>137</v>
      </c>
      <c r="K273">
        <v>9930.81</v>
      </c>
      <c r="L273">
        <v>55512.25</v>
      </c>
      <c r="M273">
        <v>2.4900000000000002</v>
      </c>
      <c r="N273">
        <v>4.13</v>
      </c>
      <c r="O273">
        <v>2.98</v>
      </c>
      <c r="P273">
        <v>72.489999999999995</v>
      </c>
      <c r="Q273">
        <v>5.59</v>
      </c>
      <c r="R273">
        <v>458.99</v>
      </c>
    </row>
    <row r="274" spans="1:18" x14ac:dyDescent="0.3">
      <c r="A274" t="s">
        <v>576</v>
      </c>
      <c r="B274" t="s">
        <v>577</v>
      </c>
      <c r="C274" t="s">
        <v>29</v>
      </c>
      <c r="D274" t="s">
        <v>30</v>
      </c>
      <c r="E274" t="s">
        <v>38</v>
      </c>
      <c r="F274" s="1">
        <v>45294</v>
      </c>
      <c r="G274" s="1">
        <v>45314</v>
      </c>
      <c r="H274">
        <v>65305</v>
      </c>
      <c r="I274">
        <v>2422</v>
      </c>
      <c r="J274">
        <v>155</v>
      </c>
      <c r="K274">
        <v>9743.6299999999992</v>
      </c>
      <c r="L274">
        <v>38321.58</v>
      </c>
      <c r="M274">
        <v>3.71</v>
      </c>
      <c r="N274">
        <v>6.42</v>
      </c>
      <c r="O274">
        <v>4.0199999999999996</v>
      </c>
      <c r="P274">
        <v>62.86</v>
      </c>
      <c r="Q274">
        <v>3.93</v>
      </c>
      <c r="R274">
        <v>293.3</v>
      </c>
    </row>
    <row r="275" spans="1:18" x14ac:dyDescent="0.3">
      <c r="A275" t="s">
        <v>578</v>
      </c>
      <c r="B275" t="s">
        <v>579</v>
      </c>
      <c r="C275" t="s">
        <v>29</v>
      </c>
      <c r="D275" t="s">
        <v>57</v>
      </c>
      <c r="E275" t="s">
        <v>26</v>
      </c>
      <c r="F275" s="1">
        <v>45526</v>
      </c>
      <c r="G275" s="1">
        <v>45540</v>
      </c>
      <c r="H275">
        <v>352696</v>
      </c>
      <c r="I275">
        <v>6383</v>
      </c>
      <c r="J275">
        <v>405</v>
      </c>
      <c r="K275">
        <v>5804.4</v>
      </c>
      <c r="L275">
        <v>20123.46</v>
      </c>
      <c r="M275">
        <v>1.81</v>
      </c>
      <c r="N275">
        <v>6.36</v>
      </c>
      <c r="O275">
        <v>0.91</v>
      </c>
      <c r="P275">
        <v>14.33</v>
      </c>
      <c r="Q275">
        <v>3.47</v>
      </c>
      <c r="R275">
        <v>246.69</v>
      </c>
    </row>
    <row r="276" spans="1:18" x14ac:dyDescent="0.3">
      <c r="A276" t="s">
        <v>580</v>
      </c>
      <c r="B276" t="s">
        <v>581</v>
      </c>
      <c r="C276" t="s">
        <v>44</v>
      </c>
      <c r="D276" t="s">
        <v>30</v>
      </c>
      <c r="E276" t="s">
        <v>31</v>
      </c>
      <c r="F276" s="1">
        <v>45472</v>
      </c>
      <c r="G276" s="1">
        <v>45508</v>
      </c>
      <c r="H276">
        <v>385076</v>
      </c>
      <c r="I276">
        <v>7740</v>
      </c>
      <c r="J276">
        <v>221</v>
      </c>
      <c r="K276">
        <v>7406.8</v>
      </c>
      <c r="L276">
        <v>18621.02</v>
      </c>
      <c r="M276">
        <v>2.0099999999999998</v>
      </c>
      <c r="N276">
        <v>2.86</v>
      </c>
      <c r="O276">
        <v>0.96</v>
      </c>
      <c r="P276">
        <v>33.51</v>
      </c>
      <c r="Q276">
        <v>2.5099999999999998</v>
      </c>
      <c r="R276">
        <v>151.4</v>
      </c>
    </row>
    <row r="277" spans="1:18" x14ac:dyDescent="0.3">
      <c r="A277" t="s">
        <v>582</v>
      </c>
      <c r="B277" t="s">
        <v>583</v>
      </c>
      <c r="C277" t="s">
        <v>37</v>
      </c>
      <c r="D277" t="s">
        <v>34</v>
      </c>
      <c r="E277" t="s">
        <v>22</v>
      </c>
      <c r="F277" s="1">
        <v>45351</v>
      </c>
      <c r="G277" s="1">
        <v>45369</v>
      </c>
      <c r="H277">
        <v>372166</v>
      </c>
      <c r="I277">
        <v>28061</v>
      </c>
      <c r="J277">
        <v>4130</v>
      </c>
      <c r="K277">
        <v>1909.34</v>
      </c>
      <c r="L277">
        <v>5868.5</v>
      </c>
      <c r="M277">
        <v>7.54</v>
      </c>
      <c r="N277">
        <v>14.72</v>
      </c>
      <c r="O277">
        <v>7.0000000000000007E-2</v>
      </c>
      <c r="P277">
        <v>0.46</v>
      </c>
      <c r="Q277">
        <v>3.07</v>
      </c>
      <c r="R277">
        <v>207.36</v>
      </c>
    </row>
    <row r="278" spans="1:18" x14ac:dyDescent="0.3">
      <c r="A278" t="s">
        <v>584</v>
      </c>
      <c r="B278" t="s">
        <v>585</v>
      </c>
      <c r="C278" t="s">
        <v>44</v>
      </c>
      <c r="D278" t="s">
        <v>34</v>
      </c>
      <c r="E278" t="s">
        <v>31</v>
      </c>
      <c r="F278" s="1">
        <v>45617</v>
      </c>
      <c r="G278" s="1">
        <v>45658</v>
      </c>
      <c r="H278">
        <v>253666</v>
      </c>
      <c r="I278">
        <v>5808</v>
      </c>
      <c r="J278">
        <v>114</v>
      </c>
      <c r="K278">
        <v>7296.37</v>
      </c>
      <c r="L278">
        <v>20691.71</v>
      </c>
      <c r="M278">
        <v>2.29</v>
      </c>
      <c r="N278">
        <v>1.98</v>
      </c>
      <c r="O278">
        <v>1.26</v>
      </c>
      <c r="P278">
        <v>64</v>
      </c>
      <c r="Q278">
        <v>2.84</v>
      </c>
      <c r="R278">
        <v>183.59</v>
      </c>
    </row>
    <row r="279" spans="1:18" x14ac:dyDescent="0.3">
      <c r="A279" t="s">
        <v>586</v>
      </c>
      <c r="B279" t="s">
        <v>587</v>
      </c>
      <c r="C279" t="s">
        <v>29</v>
      </c>
      <c r="D279" t="s">
        <v>34</v>
      </c>
      <c r="E279" t="s">
        <v>38</v>
      </c>
      <c r="F279" s="1">
        <v>45475</v>
      </c>
      <c r="G279" s="1">
        <v>45482</v>
      </c>
      <c r="H279">
        <v>201432</v>
      </c>
      <c r="I279">
        <v>3867</v>
      </c>
      <c r="J279">
        <v>138</v>
      </c>
      <c r="K279">
        <v>9765.01</v>
      </c>
      <c r="L279">
        <v>21885.84</v>
      </c>
      <c r="M279">
        <v>1.92</v>
      </c>
      <c r="N279">
        <v>3.57</v>
      </c>
      <c r="O279">
        <v>2.5299999999999998</v>
      </c>
      <c r="P279">
        <v>70.760000000000005</v>
      </c>
      <c r="Q279">
        <v>2.2400000000000002</v>
      </c>
      <c r="R279">
        <v>124.13</v>
      </c>
    </row>
    <row r="280" spans="1:18" x14ac:dyDescent="0.3">
      <c r="A280" t="s">
        <v>588</v>
      </c>
      <c r="B280" t="s">
        <v>589</v>
      </c>
      <c r="C280" t="s">
        <v>25</v>
      </c>
      <c r="D280" t="s">
        <v>34</v>
      </c>
      <c r="E280" t="s">
        <v>41</v>
      </c>
      <c r="F280" s="1">
        <v>45543</v>
      </c>
      <c r="G280" s="1">
        <v>45576</v>
      </c>
      <c r="H280">
        <v>477407</v>
      </c>
      <c r="I280">
        <v>6922</v>
      </c>
      <c r="J280">
        <v>618</v>
      </c>
      <c r="K280">
        <v>14449.12</v>
      </c>
      <c r="L280">
        <v>55500.58</v>
      </c>
      <c r="M280">
        <v>1.45</v>
      </c>
      <c r="N280">
        <v>8.93</v>
      </c>
      <c r="O280">
        <v>2.09</v>
      </c>
      <c r="P280">
        <v>23.38</v>
      </c>
      <c r="Q280">
        <v>3.84</v>
      </c>
      <c r="R280">
        <v>284.11</v>
      </c>
    </row>
    <row r="281" spans="1:18" x14ac:dyDescent="0.3">
      <c r="A281" t="s">
        <v>590</v>
      </c>
      <c r="B281" t="s">
        <v>591</v>
      </c>
      <c r="C281" t="s">
        <v>25</v>
      </c>
      <c r="D281" t="s">
        <v>30</v>
      </c>
      <c r="E281" t="s">
        <v>41</v>
      </c>
      <c r="F281" s="1">
        <v>45407</v>
      </c>
      <c r="G281" s="1">
        <v>45448</v>
      </c>
      <c r="H281">
        <v>93343</v>
      </c>
      <c r="I281">
        <v>1642</v>
      </c>
      <c r="J281">
        <v>173</v>
      </c>
      <c r="K281">
        <v>7528.47</v>
      </c>
      <c r="L281">
        <v>16164.59</v>
      </c>
      <c r="M281">
        <v>1.76</v>
      </c>
      <c r="N281">
        <v>10.57</v>
      </c>
      <c r="O281">
        <v>4.58</v>
      </c>
      <c r="P281">
        <v>43.52</v>
      </c>
      <c r="Q281">
        <v>2.15</v>
      </c>
      <c r="R281">
        <v>114.71</v>
      </c>
    </row>
    <row r="282" spans="1:18" x14ac:dyDescent="0.3">
      <c r="A282" t="s">
        <v>592</v>
      </c>
      <c r="B282" t="s">
        <v>593</v>
      </c>
      <c r="C282" t="s">
        <v>44</v>
      </c>
      <c r="D282" t="s">
        <v>34</v>
      </c>
      <c r="E282" t="s">
        <v>38</v>
      </c>
      <c r="F282" s="1">
        <v>45350</v>
      </c>
      <c r="G282" s="1">
        <v>45374</v>
      </c>
      <c r="H282">
        <v>346563</v>
      </c>
      <c r="I282">
        <v>10847</v>
      </c>
      <c r="J282">
        <v>453</v>
      </c>
      <c r="K282">
        <v>9371.58</v>
      </c>
      <c r="L282">
        <v>23517.51</v>
      </c>
      <c r="M282">
        <v>3.13</v>
      </c>
      <c r="N282">
        <v>4.18</v>
      </c>
      <c r="O282">
        <v>0.86</v>
      </c>
      <c r="P282">
        <v>20.69</v>
      </c>
      <c r="Q282">
        <v>2.5099999999999998</v>
      </c>
      <c r="R282">
        <v>150.94</v>
      </c>
    </row>
    <row r="283" spans="1:18" x14ac:dyDescent="0.3">
      <c r="A283" t="s">
        <v>594</v>
      </c>
      <c r="B283" t="s">
        <v>595</v>
      </c>
      <c r="C283" t="s">
        <v>37</v>
      </c>
      <c r="D283" t="s">
        <v>57</v>
      </c>
      <c r="E283" t="s">
        <v>31</v>
      </c>
      <c r="F283" s="1">
        <v>45509</v>
      </c>
      <c r="G283" s="1">
        <v>45522</v>
      </c>
      <c r="H283">
        <v>481285</v>
      </c>
      <c r="I283">
        <v>41101</v>
      </c>
      <c r="J283">
        <v>6411</v>
      </c>
      <c r="K283">
        <v>2486.15</v>
      </c>
      <c r="L283">
        <v>7417.28</v>
      </c>
      <c r="M283">
        <v>8.5399999999999991</v>
      </c>
      <c r="N283">
        <v>15.6</v>
      </c>
      <c r="O283">
        <v>0.06</v>
      </c>
      <c r="P283">
        <v>0.39</v>
      </c>
      <c r="Q283">
        <v>2.98</v>
      </c>
      <c r="R283">
        <v>198.34</v>
      </c>
    </row>
    <row r="284" spans="1:18" x14ac:dyDescent="0.3">
      <c r="A284" t="s">
        <v>596</v>
      </c>
      <c r="B284" t="s">
        <v>597</v>
      </c>
      <c r="C284" t="s">
        <v>29</v>
      </c>
      <c r="D284" t="s">
        <v>57</v>
      </c>
      <c r="E284" t="s">
        <v>26</v>
      </c>
      <c r="F284" s="1">
        <v>45352</v>
      </c>
      <c r="G284" s="1">
        <v>45374</v>
      </c>
      <c r="H284">
        <v>285789</v>
      </c>
      <c r="I284">
        <v>6544</v>
      </c>
      <c r="J284">
        <v>412</v>
      </c>
      <c r="K284">
        <v>4304.75</v>
      </c>
      <c r="L284">
        <v>25371.37</v>
      </c>
      <c r="M284">
        <v>2.29</v>
      </c>
      <c r="N284">
        <v>6.31</v>
      </c>
      <c r="O284">
        <v>0.66</v>
      </c>
      <c r="P284">
        <v>10.45</v>
      </c>
      <c r="Q284">
        <v>5.89</v>
      </c>
      <c r="R284">
        <v>489.38</v>
      </c>
    </row>
    <row r="285" spans="1:18" x14ac:dyDescent="0.3">
      <c r="A285" t="s">
        <v>598</v>
      </c>
      <c r="B285" t="s">
        <v>599</v>
      </c>
      <c r="C285" t="s">
        <v>29</v>
      </c>
      <c r="D285" t="s">
        <v>57</v>
      </c>
      <c r="E285" t="s">
        <v>31</v>
      </c>
      <c r="F285" s="1">
        <v>45322</v>
      </c>
      <c r="G285" s="1">
        <v>45365</v>
      </c>
      <c r="H285">
        <v>381754</v>
      </c>
      <c r="I285">
        <v>10612</v>
      </c>
      <c r="J285">
        <v>539</v>
      </c>
      <c r="K285">
        <v>14772.74</v>
      </c>
      <c r="L285">
        <v>83626.77</v>
      </c>
      <c r="M285">
        <v>2.78</v>
      </c>
      <c r="N285">
        <v>5.08</v>
      </c>
      <c r="O285">
        <v>1.39</v>
      </c>
      <c r="P285">
        <v>27.41</v>
      </c>
      <c r="Q285">
        <v>5.66</v>
      </c>
      <c r="R285">
        <v>466.09</v>
      </c>
    </row>
    <row r="286" spans="1:18" x14ac:dyDescent="0.3">
      <c r="A286" t="s">
        <v>600</v>
      </c>
      <c r="B286" t="s">
        <v>601</v>
      </c>
      <c r="C286" t="s">
        <v>44</v>
      </c>
      <c r="D286" t="s">
        <v>57</v>
      </c>
      <c r="E286" t="s">
        <v>31</v>
      </c>
      <c r="F286" s="1">
        <v>45555</v>
      </c>
      <c r="G286" s="1">
        <v>45568</v>
      </c>
      <c r="H286">
        <v>332469</v>
      </c>
      <c r="I286">
        <v>5452</v>
      </c>
      <c r="J286">
        <v>268</v>
      </c>
      <c r="K286">
        <v>6157.93</v>
      </c>
      <c r="L286">
        <v>28186.76</v>
      </c>
      <c r="M286">
        <v>1.64</v>
      </c>
      <c r="N286">
        <v>4.93</v>
      </c>
      <c r="O286">
        <v>1.1299999999999999</v>
      </c>
      <c r="P286">
        <v>22.98</v>
      </c>
      <c r="Q286">
        <v>4.58</v>
      </c>
      <c r="R286">
        <v>357.73</v>
      </c>
    </row>
    <row r="287" spans="1:18" x14ac:dyDescent="0.3">
      <c r="A287" t="s">
        <v>602</v>
      </c>
      <c r="B287" t="s">
        <v>603</v>
      </c>
      <c r="C287" t="s">
        <v>29</v>
      </c>
      <c r="D287" t="s">
        <v>30</v>
      </c>
      <c r="E287" t="s">
        <v>26</v>
      </c>
      <c r="F287" s="1">
        <v>45456</v>
      </c>
      <c r="G287" s="1">
        <v>45478</v>
      </c>
      <c r="H287">
        <v>195397</v>
      </c>
      <c r="I287">
        <v>8011</v>
      </c>
      <c r="J287">
        <v>210</v>
      </c>
      <c r="K287">
        <v>15991.18</v>
      </c>
      <c r="L287">
        <v>49949.21</v>
      </c>
      <c r="M287">
        <v>4.0999999999999996</v>
      </c>
      <c r="N287">
        <v>2.63</v>
      </c>
      <c r="O287">
        <v>2</v>
      </c>
      <c r="P287">
        <v>76.150000000000006</v>
      </c>
      <c r="Q287">
        <v>3.12</v>
      </c>
      <c r="R287">
        <v>212.35</v>
      </c>
    </row>
    <row r="288" spans="1:18" x14ac:dyDescent="0.3">
      <c r="A288" t="s">
        <v>604</v>
      </c>
      <c r="B288" t="s">
        <v>605</v>
      </c>
      <c r="C288" t="s">
        <v>25</v>
      </c>
      <c r="D288" t="s">
        <v>30</v>
      </c>
      <c r="E288" t="s">
        <v>41</v>
      </c>
      <c r="F288" s="1">
        <v>45339</v>
      </c>
      <c r="G288" s="1">
        <v>45371</v>
      </c>
      <c r="H288">
        <v>352737</v>
      </c>
      <c r="I288">
        <v>6631</v>
      </c>
      <c r="J288">
        <v>622</v>
      </c>
      <c r="K288">
        <v>10002.76</v>
      </c>
      <c r="L288">
        <v>23404.69</v>
      </c>
      <c r="M288">
        <v>1.88</v>
      </c>
      <c r="N288">
        <v>9.39</v>
      </c>
      <c r="O288">
        <v>1.51</v>
      </c>
      <c r="P288">
        <v>16.079999999999998</v>
      </c>
      <c r="Q288">
        <v>2.34</v>
      </c>
      <c r="R288">
        <v>133.97999999999999</v>
      </c>
    </row>
    <row r="289" spans="1:18" x14ac:dyDescent="0.3">
      <c r="A289" t="s">
        <v>606</v>
      </c>
      <c r="B289" t="s">
        <v>607</v>
      </c>
      <c r="C289" t="s">
        <v>37</v>
      </c>
      <c r="D289" t="s">
        <v>57</v>
      </c>
      <c r="E289" t="s">
        <v>22</v>
      </c>
      <c r="F289" s="1">
        <v>45339</v>
      </c>
      <c r="G289" s="1">
        <v>45375</v>
      </c>
      <c r="H289">
        <v>288391</v>
      </c>
      <c r="I289">
        <v>27973</v>
      </c>
      <c r="J289">
        <v>3152</v>
      </c>
      <c r="K289">
        <v>511.13</v>
      </c>
      <c r="L289">
        <v>2802.84</v>
      </c>
      <c r="M289">
        <v>9.6999999999999993</v>
      </c>
      <c r="N289">
        <v>11.27</v>
      </c>
      <c r="O289">
        <v>0.02</v>
      </c>
      <c r="P289">
        <v>0.16</v>
      </c>
      <c r="Q289">
        <v>5.48</v>
      </c>
      <c r="R289">
        <v>448.36</v>
      </c>
    </row>
    <row r="290" spans="1:18" x14ac:dyDescent="0.3">
      <c r="A290" t="s">
        <v>608</v>
      </c>
      <c r="B290" t="s">
        <v>609</v>
      </c>
      <c r="C290" t="s">
        <v>44</v>
      </c>
      <c r="D290" t="s">
        <v>21</v>
      </c>
      <c r="E290" t="s">
        <v>31</v>
      </c>
      <c r="F290" s="1">
        <v>45437</v>
      </c>
      <c r="G290" s="1">
        <v>45465</v>
      </c>
      <c r="H290">
        <v>258517</v>
      </c>
      <c r="I290">
        <v>4575</v>
      </c>
      <c r="J290">
        <v>137</v>
      </c>
      <c r="K290">
        <v>5148.1400000000003</v>
      </c>
      <c r="L290">
        <v>16517.37</v>
      </c>
      <c r="M290">
        <v>1.77</v>
      </c>
      <c r="N290">
        <v>3</v>
      </c>
      <c r="O290">
        <v>1.1299999999999999</v>
      </c>
      <c r="P290">
        <v>37.58</v>
      </c>
      <c r="Q290">
        <v>3.21</v>
      </c>
      <c r="R290">
        <v>220.84</v>
      </c>
    </row>
    <row r="291" spans="1:18" x14ac:dyDescent="0.3">
      <c r="A291" t="s">
        <v>610</v>
      </c>
      <c r="B291" t="s">
        <v>611</v>
      </c>
      <c r="C291" t="s">
        <v>37</v>
      </c>
      <c r="D291" t="s">
        <v>34</v>
      </c>
      <c r="E291" t="s">
        <v>31</v>
      </c>
      <c r="F291" s="1">
        <v>45342</v>
      </c>
      <c r="G291" s="1">
        <v>45378</v>
      </c>
      <c r="H291">
        <v>496914</v>
      </c>
      <c r="I291">
        <v>34336</v>
      </c>
      <c r="J291">
        <v>3928</v>
      </c>
      <c r="K291">
        <v>3571.48</v>
      </c>
      <c r="L291">
        <v>7920.98</v>
      </c>
      <c r="M291">
        <v>6.91</v>
      </c>
      <c r="N291">
        <v>11.44</v>
      </c>
      <c r="O291">
        <v>0.1</v>
      </c>
      <c r="P291">
        <v>0.91</v>
      </c>
      <c r="Q291">
        <v>2.2200000000000002</v>
      </c>
      <c r="R291">
        <v>121.78</v>
      </c>
    </row>
    <row r="292" spans="1:18" x14ac:dyDescent="0.3">
      <c r="A292" t="s">
        <v>612</v>
      </c>
      <c r="B292" t="s">
        <v>613</v>
      </c>
      <c r="C292" t="s">
        <v>20</v>
      </c>
      <c r="D292" t="s">
        <v>21</v>
      </c>
      <c r="E292" t="s">
        <v>41</v>
      </c>
      <c r="F292" s="1">
        <v>45359</v>
      </c>
      <c r="G292" s="1">
        <v>45385</v>
      </c>
      <c r="H292">
        <v>281360</v>
      </c>
      <c r="I292">
        <v>12182</v>
      </c>
      <c r="J292">
        <v>1212</v>
      </c>
      <c r="K292">
        <v>13555.99</v>
      </c>
      <c r="L292">
        <v>87851.26</v>
      </c>
      <c r="M292">
        <v>4.33</v>
      </c>
      <c r="N292">
        <v>9.9499999999999993</v>
      </c>
      <c r="O292">
        <v>1.1100000000000001</v>
      </c>
      <c r="P292">
        <v>11.18</v>
      </c>
      <c r="Q292">
        <v>6.48</v>
      </c>
      <c r="R292">
        <v>548.05999999999995</v>
      </c>
    </row>
    <row r="293" spans="1:18" x14ac:dyDescent="0.3">
      <c r="A293" t="s">
        <v>614</v>
      </c>
      <c r="B293" t="s">
        <v>615</v>
      </c>
      <c r="C293" t="s">
        <v>29</v>
      </c>
      <c r="D293" t="s">
        <v>57</v>
      </c>
      <c r="E293" t="s">
        <v>26</v>
      </c>
      <c r="F293" s="1">
        <v>45318</v>
      </c>
      <c r="G293" s="1">
        <v>45350</v>
      </c>
      <c r="H293">
        <v>393192</v>
      </c>
      <c r="I293">
        <v>10144</v>
      </c>
      <c r="J293">
        <v>244</v>
      </c>
      <c r="K293">
        <v>12967.63</v>
      </c>
      <c r="L293">
        <v>63802.04</v>
      </c>
      <c r="M293">
        <v>2.58</v>
      </c>
      <c r="N293">
        <v>2.41</v>
      </c>
      <c r="O293">
        <v>1.28</v>
      </c>
      <c r="P293">
        <v>53.15</v>
      </c>
      <c r="Q293">
        <v>4.92</v>
      </c>
      <c r="R293">
        <v>392.01</v>
      </c>
    </row>
    <row r="294" spans="1:18" x14ac:dyDescent="0.3">
      <c r="A294" t="s">
        <v>616</v>
      </c>
      <c r="B294" t="s">
        <v>617</v>
      </c>
      <c r="C294" t="s">
        <v>44</v>
      </c>
      <c r="D294" t="s">
        <v>34</v>
      </c>
      <c r="E294" t="s">
        <v>38</v>
      </c>
      <c r="F294" s="1">
        <v>45595</v>
      </c>
      <c r="G294" s="1">
        <v>45616</v>
      </c>
      <c r="H294">
        <v>393663</v>
      </c>
      <c r="I294">
        <v>5668</v>
      </c>
      <c r="J294">
        <v>103</v>
      </c>
      <c r="K294">
        <v>5167.76</v>
      </c>
      <c r="L294">
        <v>12147.98</v>
      </c>
      <c r="M294">
        <v>1.44</v>
      </c>
      <c r="N294">
        <v>1.83</v>
      </c>
      <c r="O294">
        <v>0.91</v>
      </c>
      <c r="P294">
        <v>50.17</v>
      </c>
      <c r="Q294">
        <v>2.35</v>
      </c>
      <c r="R294">
        <v>135.07</v>
      </c>
    </row>
    <row r="295" spans="1:18" x14ac:dyDescent="0.3">
      <c r="A295" t="s">
        <v>618</v>
      </c>
      <c r="B295" t="s">
        <v>619</v>
      </c>
      <c r="C295" t="s">
        <v>37</v>
      </c>
      <c r="D295" t="s">
        <v>30</v>
      </c>
      <c r="E295" t="s">
        <v>26</v>
      </c>
      <c r="F295" s="1">
        <v>45359</v>
      </c>
      <c r="G295" s="1">
        <v>45396</v>
      </c>
      <c r="H295">
        <v>54227</v>
      </c>
      <c r="I295">
        <v>4430</v>
      </c>
      <c r="J295">
        <v>716</v>
      </c>
      <c r="K295">
        <v>4946.7</v>
      </c>
      <c r="L295">
        <v>19294.169999999998</v>
      </c>
      <c r="M295">
        <v>8.17</v>
      </c>
      <c r="N295">
        <v>16.170000000000002</v>
      </c>
      <c r="O295">
        <v>1.1200000000000001</v>
      </c>
      <c r="P295">
        <v>6.91</v>
      </c>
      <c r="Q295">
        <v>3.9</v>
      </c>
      <c r="R295">
        <v>290.04000000000002</v>
      </c>
    </row>
    <row r="296" spans="1:18" x14ac:dyDescent="0.3">
      <c r="A296" t="s">
        <v>620</v>
      </c>
      <c r="B296" t="s">
        <v>621</v>
      </c>
      <c r="C296" t="s">
        <v>20</v>
      </c>
      <c r="D296" t="s">
        <v>34</v>
      </c>
      <c r="E296" t="s">
        <v>38</v>
      </c>
      <c r="F296" s="1">
        <v>45362</v>
      </c>
      <c r="G296" s="1">
        <v>45393</v>
      </c>
      <c r="H296">
        <v>96835</v>
      </c>
      <c r="I296">
        <v>5248</v>
      </c>
      <c r="J296">
        <v>241</v>
      </c>
      <c r="K296">
        <v>11267.03</v>
      </c>
      <c r="L296">
        <v>67201.64</v>
      </c>
      <c r="M296">
        <v>5.42</v>
      </c>
      <c r="N296">
        <v>4.6100000000000003</v>
      </c>
      <c r="O296">
        <v>2.15</v>
      </c>
      <c r="P296">
        <v>46.75</v>
      </c>
      <c r="Q296">
        <v>5.96</v>
      </c>
      <c r="R296">
        <v>496.45</v>
      </c>
    </row>
    <row r="297" spans="1:18" x14ac:dyDescent="0.3">
      <c r="A297" t="s">
        <v>622</v>
      </c>
      <c r="B297" t="s">
        <v>623</v>
      </c>
      <c r="C297" t="s">
        <v>29</v>
      </c>
      <c r="D297" t="s">
        <v>34</v>
      </c>
      <c r="E297" t="s">
        <v>26</v>
      </c>
      <c r="F297" s="1">
        <v>45401</v>
      </c>
      <c r="G297" s="1">
        <v>45417</v>
      </c>
      <c r="H297">
        <v>328139</v>
      </c>
      <c r="I297">
        <v>10467</v>
      </c>
      <c r="J297">
        <v>528</v>
      </c>
      <c r="K297">
        <v>5461.75</v>
      </c>
      <c r="L297">
        <v>19554.95</v>
      </c>
      <c r="M297">
        <v>3.19</v>
      </c>
      <c r="N297">
        <v>5.05</v>
      </c>
      <c r="O297">
        <v>0.52</v>
      </c>
      <c r="P297">
        <v>10.34</v>
      </c>
      <c r="Q297">
        <v>3.58</v>
      </c>
      <c r="R297">
        <v>258.02999999999997</v>
      </c>
    </row>
    <row r="298" spans="1:18" x14ac:dyDescent="0.3">
      <c r="A298" t="s">
        <v>624</v>
      </c>
      <c r="B298" t="s">
        <v>625</v>
      </c>
      <c r="C298" t="s">
        <v>25</v>
      </c>
      <c r="D298" t="s">
        <v>30</v>
      </c>
      <c r="E298" t="s">
        <v>41</v>
      </c>
      <c r="F298" s="1">
        <v>45471</v>
      </c>
      <c r="G298" s="1">
        <v>45505</v>
      </c>
      <c r="H298">
        <v>95449</v>
      </c>
      <c r="I298">
        <v>2214</v>
      </c>
      <c r="J298">
        <v>132</v>
      </c>
      <c r="K298">
        <v>5970.52</v>
      </c>
      <c r="L298">
        <v>31554.44</v>
      </c>
      <c r="M298">
        <v>2.3199999999999998</v>
      </c>
      <c r="N298">
        <v>5.98</v>
      </c>
      <c r="O298">
        <v>2.7</v>
      </c>
      <c r="P298">
        <v>45.23</v>
      </c>
      <c r="Q298">
        <v>5.29</v>
      </c>
      <c r="R298">
        <v>428.5</v>
      </c>
    </row>
    <row r="299" spans="1:18" x14ac:dyDescent="0.3">
      <c r="A299" t="s">
        <v>626</v>
      </c>
      <c r="B299" t="s">
        <v>627</v>
      </c>
      <c r="C299" t="s">
        <v>44</v>
      </c>
      <c r="D299" t="s">
        <v>34</v>
      </c>
      <c r="E299" t="s">
        <v>41</v>
      </c>
      <c r="F299" s="1">
        <v>45437</v>
      </c>
      <c r="G299" s="1">
        <v>45445</v>
      </c>
      <c r="H299">
        <v>195210</v>
      </c>
      <c r="I299">
        <v>5622</v>
      </c>
      <c r="J299">
        <v>133</v>
      </c>
      <c r="K299">
        <v>10012.49</v>
      </c>
      <c r="L299">
        <v>52518.6</v>
      </c>
      <c r="M299">
        <v>2.88</v>
      </c>
      <c r="N299">
        <v>2.37</v>
      </c>
      <c r="O299">
        <v>1.78</v>
      </c>
      <c r="P299">
        <v>75.28</v>
      </c>
      <c r="Q299">
        <v>5.25</v>
      </c>
      <c r="R299">
        <v>424.53</v>
      </c>
    </row>
    <row r="300" spans="1:18" x14ac:dyDescent="0.3">
      <c r="A300" t="s">
        <v>628</v>
      </c>
      <c r="B300" t="s">
        <v>629</v>
      </c>
      <c r="C300" t="s">
        <v>44</v>
      </c>
      <c r="D300" t="s">
        <v>34</v>
      </c>
      <c r="E300" t="s">
        <v>31</v>
      </c>
      <c r="F300" s="1">
        <v>45414</v>
      </c>
      <c r="G300" s="1">
        <v>45452</v>
      </c>
      <c r="H300">
        <v>368204</v>
      </c>
      <c r="I300">
        <v>9278</v>
      </c>
      <c r="J300">
        <v>382</v>
      </c>
      <c r="K300">
        <v>6194.28</v>
      </c>
      <c r="L300">
        <v>13909.63</v>
      </c>
      <c r="M300">
        <v>2.52</v>
      </c>
      <c r="N300">
        <v>4.12</v>
      </c>
      <c r="O300">
        <v>0.67</v>
      </c>
      <c r="P300">
        <v>16.22</v>
      </c>
      <c r="Q300">
        <v>2.25</v>
      </c>
      <c r="R300">
        <v>124.56</v>
      </c>
    </row>
    <row r="301" spans="1:18" x14ac:dyDescent="0.3">
      <c r="A301" t="s">
        <v>630</v>
      </c>
      <c r="B301" t="s">
        <v>631</v>
      </c>
      <c r="C301" t="s">
        <v>25</v>
      </c>
      <c r="D301" t="s">
        <v>21</v>
      </c>
      <c r="E301" t="s">
        <v>41</v>
      </c>
      <c r="F301" s="1">
        <v>45476</v>
      </c>
      <c r="G301" s="1">
        <v>45503</v>
      </c>
      <c r="H301">
        <v>311925</v>
      </c>
      <c r="I301">
        <v>5864</v>
      </c>
      <c r="J301">
        <v>322</v>
      </c>
      <c r="K301">
        <v>18219.59</v>
      </c>
      <c r="L301">
        <v>37428.53</v>
      </c>
      <c r="M301">
        <v>1.88</v>
      </c>
      <c r="N301">
        <v>5.5</v>
      </c>
      <c r="O301">
        <v>3.11</v>
      </c>
      <c r="P301">
        <v>56.58</v>
      </c>
      <c r="Q301">
        <v>2.0499999999999998</v>
      </c>
      <c r="R301">
        <v>105.43</v>
      </c>
    </row>
    <row r="302" spans="1:18" x14ac:dyDescent="0.3">
      <c r="A302" t="s">
        <v>632</v>
      </c>
      <c r="B302" t="s">
        <v>633</v>
      </c>
      <c r="C302" t="s">
        <v>29</v>
      </c>
      <c r="D302" t="s">
        <v>30</v>
      </c>
      <c r="E302" t="s">
        <v>31</v>
      </c>
      <c r="F302" s="1">
        <v>45329</v>
      </c>
      <c r="G302" s="1">
        <v>45337</v>
      </c>
      <c r="H302">
        <v>270653</v>
      </c>
      <c r="I302">
        <v>7036</v>
      </c>
      <c r="J302">
        <v>380</v>
      </c>
      <c r="K302">
        <v>14440.89</v>
      </c>
      <c r="L302">
        <v>90905.96</v>
      </c>
      <c r="M302">
        <v>2.6</v>
      </c>
      <c r="N302">
        <v>5.41</v>
      </c>
      <c r="O302">
        <v>2.0499999999999998</v>
      </c>
      <c r="P302">
        <v>38</v>
      </c>
      <c r="Q302">
        <v>6.3</v>
      </c>
      <c r="R302">
        <v>529.5</v>
      </c>
    </row>
    <row r="303" spans="1:18" x14ac:dyDescent="0.3">
      <c r="A303" t="s">
        <v>634</v>
      </c>
      <c r="B303" t="s">
        <v>635</v>
      </c>
      <c r="C303" t="s">
        <v>37</v>
      </c>
      <c r="D303" t="s">
        <v>21</v>
      </c>
      <c r="E303" t="s">
        <v>26</v>
      </c>
      <c r="F303" s="1">
        <v>45438</v>
      </c>
      <c r="G303" s="1">
        <v>45477</v>
      </c>
      <c r="H303">
        <v>187460</v>
      </c>
      <c r="I303">
        <v>9916</v>
      </c>
      <c r="J303">
        <v>1708</v>
      </c>
      <c r="K303">
        <v>4769.0600000000004</v>
      </c>
      <c r="L303">
        <v>18078.97</v>
      </c>
      <c r="M303">
        <v>5.29</v>
      </c>
      <c r="N303">
        <v>17.23</v>
      </c>
      <c r="O303">
        <v>0.48</v>
      </c>
      <c r="P303">
        <v>2.79</v>
      </c>
      <c r="Q303">
        <v>3.79</v>
      </c>
      <c r="R303">
        <v>279.08999999999997</v>
      </c>
    </row>
    <row r="304" spans="1:18" x14ac:dyDescent="0.3">
      <c r="A304" t="s">
        <v>636</v>
      </c>
      <c r="B304" t="s">
        <v>637</v>
      </c>
      <c r="C304" t="s">
        <v>25</v>
      </c>
      <c r="D304" t="s">
        <v>30</v>
      </c>
      <c r="E304" t="s">
        <v>38</v>
      </c>
      <c r="F304" s="1">
        <v>45332</v>
      </c>
      <c r="G304" s="1">
        <v>45371</v>
      </c>
      <c r="H304">
        <v>93215</v>
      </c>
      <c r="I304">
        <v>1761</v>
      </c>
      <c r="J304">
        <v>154</v>
      </c>
      <c r="K304">
        <v>6442.89</v>
      </c>
      <c r="L304">
        <v>15309.51</v>
      </c>
      <c r="M304">
        <v>1.89</v>
      </c>
      <c r="N304">
        <v>8.76</v>
      </c>
      <c r="O304">
        <v>3.66</v>
      </c>
      <c r="P304">
        <v>41.84</v>
      </c>
      <c r="Q304">
        <v>2.38</v>
      </c>
      <c r="R304">
        <v>137.62</v>
      </c>
    </row>
    <row r="305" spans="1:18" x14ac:dyDescent="0.3">
      <c r="A305" t="s">
        <v>638</v>
      </c>
      <c r="B305" t="s">
        <v>639</v>
      </c>
      <c r="C305" t="s">
        <v>29</v>
      </c>
      <c r="D305" t="s">
        <v>34</v>
      </c>
      <c r="E305" t="s">
        <v>31</v>
      </c>
      <c r="F305" s="1">
        <v>45325</v>
      </c>
      <c r="G305" s="1">
        <v>45351</v>
      </c>
      <c r="H305">
        <v>221311</v>
      </c>
      <c r="I305">
        <v>5909</v>
      </c>
      <c r="J305">
        <v>305</v>
      </c>
      <c r="K305">
        <v>15517.9</v>
      </c>
      <c r="L305">
        <v>78594.289999999994</v>
      </c>
      <c r="M305">
        <v>2.67</v>
      </c>
      <c r="N305">
        <v>5.17</v>
      </c>
      <c r="O305">
        <v>2.63</v>
      </c>
      <c r="P305">
        <v>50.88</v>
      </c>
      <c r="Q305">
        <v>5.0599999999999996</v>
      </c>
      <c r="R305">
        <v>406.48</v>
      </c>
    </row>
    <row r="306" spans="1:18" x14ac:dyDescent="0.3">
      <c r="A306" t="s">
        <v>640</v>
      </c>
      <c r="B306" t="s">
        <v>641</v>
      </c>
      <c r="C306" t="s">
        <v>25</v>
      </c>
      <c r="D306" t="s">
        <v>34</v>
      </c>
      <c r="E306" t="s">
        <v>26</v>
      </c>
      <c r="F306" s="1">
        <v>45450</v>
      </c>
      <c r="G306" s="1">
        <v>45468</v>
      </c>
      <c r="H306">
        <v>178177</v>
      </c>
      <c r="I306">
        <v>1692</v>
      </c>
      <c r="J306">
        <v>136</v>
      </c>
      <c r="K306">
        <v>11253.95</v>
      </c>
      <c r="L306">
        <v>53340.86</v>
      </c>
      <c r="M306">
        <v>0.95</v>
      </c>
      <c r="N306">
        <v>8.0399999999999991</v>
      </c>
      <c r="O306">
        <v>6.65</v>
      </c>
      <c r="P306">
        <v>82.75</v>
      </c>
      <c r="Q306">
        <v>4.74</v>
      </c>
      <c r="R306">
        <v>373.97</v>
      </c>
    </row>
    <row r="307" spans="1:18" x14ac:dyDescent="0.3">
      <c r="A307" t="s">
        <v>642</v>
      </c>
      <c r="B307" t="s">
        <v>643</v>
      </c>
      <c r="C307" t="s">
        <v>20</v>
      </c>
      <c r="D307" t="s">
        <v>21</v>
      </c>
      <c r="E307" t="s">
        <v>41</v>
      </c>
      <c r="F307" s="1">
        <v>45424</v>
      </c>
      <c r="G307" s="1">
        <v>45441</v>
      </c>
      <c r="H307">
        <v>417787</v>
      </c>
      <c r="I307">
        <v>10653</v>
      </c>
      <c r="J307">
        <v>743</v>
      </c>
      <c r="K307">
        <v>11934.1</v>
      </c>
      <c r="L307">
        <v>51644.85</v>
      </c>
      <c r="M307">
        <v>2.5499999999999998</v>
      </c>
      <c r="N307">
        <v>6.98</v>
      </c>
      <c r="O307">
        <v>1.1200000000000001</v>
      </c>
      <c r="P307">
        <v>16.059999999999999</v>
      </c>
      <c r="Q307">
        <v>4.33</v>
      </c>
      <c r="R307">
        <v>332.75</v>
      </c>
    </row>
    <row r="308" spans="1:18" x14ac:dyDescent="0.3">
      <c r="A308" t="s">
        <v>644</v>
      </c>
      <c r="B308" t="s">
        <v>645</v>
      </c>
      <c r="C308" t="s">
        <v>44</v>
      </c>
      <c r="D308" t="s">
        <v>34</v>
      </c>
      <c r="E308" t="s">
        <v>22</v>
      </c>
      <c r="F308" s="1">
        <v>45431</v>
      </c>
      <c r="G308" s="1">
        <v>45471</v>
      </c>
      <c r="H308">
        <v>434269</v>
      </c>
      <c r="I308">
        <v>15199</v>
      </c>
      <c r="J308">
        <v>638</v>
      </c>
      <c r="K308">
        <v>2866.95</v>
      </c>
      <c r="L308">
        <v>16146.62</v>
      </c>
      <c r="M308">
        <v>3.5</v>
      </c>
      <c r="N308">
        <v>4.2</v>
      </c>
      <c r="O308">
        <v>0.19</v>
      </c>
      <c r="P308">
        <v>4.49</v>
      </c>
      <c r="Q308">
        <v>5.63</v>
      </c>
      <c r="R308">
        <v>463.2</v>
      </c>
    </row>
    <row r="309" spans="1:18" x14ac:dyDescent="0.3">
      <c r="A309" t="s">
        <v>646</v>
      </c>
      <c r="B309" t="s">
        <v>647</v>
      </c>
      <c r="C309" t="s">
        <v>20</v>
      </c>
      <c r="D309" t="s">
        <v>57</v>
      </c>
      <c r="E309" t="s">
        <v>31</v>
      </c>
      <c r="F309" s="1">
        <v>45582</v>
      </c>
      <c r="G309" s="1">
        <v>45599</v>
      </c>
      <c r="H309">
        <v>379007</v>
      </c>
      <c r="I309">
        <v>10650</v>
      </c>
      <c r="J309">
        <v>716</v>
      </c>
      <c r="K309">
        <v>12202.48</v>
      </c>
      <c r="L309">
        <v>51839.12</v>
      </c>
      <c r="M309">
        <v>2.81</v>
      </c>
      <c r="N309">
        <v>6.73</v>
      </c>
      <c r="O309">
        <v>1.1499999999999999</v>
      </c>
      <c r="P309">
        <v>17.04</v>
      </c>
      <c r="Q309">
        <v>4.25</v>
      </c>
      <c r="R309">
        <v>324.82</v>
      </c>
    </row>
    <row r="310" spans="1:18" x14ac:dyDescent="0.3">
      <c r="A310" t="s">
        <v>648</v>
      </c>
      <c r="B310" t="s">
        <v>649</v>
      </c>
      <c r="C310" t="s">
        <v>44</v>
      </c>
      <c r="D310" t="s">
        <v>34</v>
      </c>
      <c r="E310" t="s">
        <v>22</v>
      </c>
      <c r="F310" s="1">
        <v>45552</v>
      </c>
      <c r="G310" s="1">
        <v>45559</v>
      </c>
      <c r="H310">
        <v>455447</v>
      </c>
      <c r="I310">
        <v>6695</v>
      </c>
      <c r="J310">
        <v>234</v>
      </c>
      <c r="K310">
        <v>11534.73</v>
      </c>
      <c r="L310">
        <v>34925.089999999997</v>
      </c>
      <c r="M310">
        <v>1.47</v>
      </c>
      <c r="N310">
        <v>3.51</v>
      </c>
      <c r="O310">
        <v>1.72</v>
      </c>
      <c r="P310">
        <v>49.29</v>
      </c>
      <c r="Q310">
        <v>3.03</v>
      </c>
      <c r="R310">
        <v>202.78</v>
      </c>
    </row>
    <row r="311" spans="1:18" x14ac:dyDescent="0.3">
      <c r="A311" t="s">
        <v>650</v>
      </c>
      <c r="B311" t="s">
        <v>651</v>
      </c>
      <c r="C311" t="s">
        <v>20</v>
      </c>
      <c r="D311" t="s">
        <v>21</v>
      </c>
      <c r="E311" t="s">
        <v>41</v>
      </c>
      <c r="F311" s="1">
        <v>45310</v>
      </c>
      <c r="G311" s="1">
        <v>45352</v>
      </c>
      <c r="H311">
        <v>74107</v>
      </c>
      <c r="I311">
        <v>3253</v>
      </c>
      <c r="J311">
        <v>204</v>
      </c>
      <c r="K311">
        <v>8001.69</v>
      </c>
      <c r="L311">
        <v>49532.22</v>
      </c>
      <c r="M311">
        <v>4.3899999999999997</v>
      </c>
      <c r="N311">
        <v>6.3</v>
      </c>
      <c r="O311">
        <v>2.46</v>
      </c>
      <c r="P311">
        <v>39.22</v>
      </c>
      <c r="Q311">
        <v>6.19</v>
      </c>
      <c r="R311">
        <v>519.02</v>
      </c>
    </row>
    <row r="312" spans="1:18" x14ac:dyDescent="0.3">
      <c r="A312" t="s">
        <v>652</v>
      </c>
      <c r="B312" t="s">
        <v>653</v>
      </c>
      <c r="C312" t="s">
        <v>25</v>
      </c>
      <c r="D312" t="s">
        <v>34</v>
      </c>
      <c r="E312" t="s">
        <v>22</v>
      </c>
      <c r="F312" s="1">
        <v>45482</v>
      </c>
      <c r="G312" s="1">
        <v>45496</v>
      </c>
      <c r="H312">
        <v>180161</v>
      </c>
      <c r="I312">
        <v>2720</v>
      </c>
      <c r="J312">
        <v>273</v>
      </c>
      <c r="K312">
        <v>8340.1299999999992</v>
      </c>
      <c r="L312">
        <v>19603.41</v>
      </c>
      <c r="M312">
        <v>1.51</v>
      </c>
      <c r="N312">
        <v>10.039999999999999</v>
      </c>
      <c r="O312">
        <v>3.07</v>
      </c>
      <c r="P312">
        <v>30.55</v>
      </c>
      <c r="Q312">
        <v>2.35</v>
      </c>
      <c r="R312">
        <v>135.05000000000001</v>
      </c>
    </row>
    <row r="313" spans="1:18" x14ac:dyDescent="0.3">
      <c r="A313" t="s">
        <v>654</v>
      </c>
      <c r="B313" t="s">
        <v>655</v>
      </c>
      <c r="C313" t="s">
        <v>37</v>
      </c>
      <c r="D313" t="s">
        <v>21</v>
      </c>
      <c r="E313" t="s">
        <v>41</v>
      </c>
      <c r="F313" s="1">
        <v>45530</v>
      </c>
      <c r="G313" s="1">
        <v>45555</v>
      </c>
      <c r="H313">
        <v>167013</v>
      </c>
      <c r="I313">
        <v>14747</v>
      </c>
      <c r="J313">
        <v>2626</v>
      </c>
      <c r="K313">
        <v>4793.3599999999997</v>
      </c>
      <c r="L313">
        <v>11073.47</v>
      </c>
      <c r="M313">
        <v>8.83</v>
      </c>
      <c r="N313">
        <v>17.809999999999999</v>
      </c>
      <c r="O313">
        <v>0.33</v>
      </c>
      <c r="P313">
        <v>1.83</v>
      </c>
      <c r="Q313">
        <v>2.31</v>
      </c>
      <c r="R313">
        <v>131.02000000000001</v>
      </c>
    </row>
    <row r="314" spans="1:18" x14ac:dyDescent="0.3">
      <c r="A314" t="s">
        <v>656</v>
      </c>
      <c r="B314" t="s">
        <v>657</v>
      </c>
      <c r="C314" t="s">
        <v>44</v>
      </c>
      <c r="D314" t="s">
        <v>57</v>
      </c>
      <c r="E314" t="s">
        <v>26</v>
      </c>
      <c r="F314" s="1">
        <v>45610</v>
      </c>
      <c r="G314" s="1">
        <v>45632</v>
      </c>
      <c r="H314">
        <v>339979</v>
      </c>
      <c r="I314">
        <v>8125</v>
      </c>
      <c r="J314">
        <v>226</v>
      </c>
      <c r="K314">
        <v>6144.94</v>
      </c>
      <c r="L314">
        <v>33983.25</v>
      </c>
      <c r="M314">
        <v>2.39</v>
      </c>
      <c r="N314">
        <v>2.79</v>
      </c>
      <c r="O314">
        <v>0.76</v>
      </c>
      <c r="P314">
        <v>27.19</v>
      </c>
      <c r="Q314">
        <v>5.53</v>
      </c>
      <c r="R314">
        <v>453.03</v>
      </c>
    </row>
    <row r="315" spans="1:18" x14ac:dyDescent="0.3">
      <c r="A315" t="s">
        <v>658</v>
      </c>
      <c r="B315" t="s">
        <v>659</v>
      </c>
      <c r="C315" t="s">
        <v>25</v>
      </c>
      <c r="D315" t="s">
        <v>57</v>
      </c>
      <c r="E315" t="s">
        <v>31</v>
      </c>
      <c r="F315" s="1">
        <v>45417</v>
      </c>
      <c r="G315" s="1">
        <v>45433</v>
      </c>
      <c r="H315">
        <v>308663</v>
      </c>
      <c r="I315">
        <v>7716</v>
      </c>
      <c r="J315">
        <v>804</v>
      </c>
      <c r="K315">
        <v>15719.41</v>
      </c>
      <c r="L315">
        <v>70100.97</v>
      </c>
      <c r="M315">
        <v>2.5</v>
      </c>
      <c r="N315">
        <v>10.43</v>
      </c>
      <c r="O315">
        <v>2.04</v>
      </c>
      <c r="P315">
        <v>19.55</v>
      </c>
      <c r="Q315">
        <v>4.46</v>
      </c>
      <c r="R315">
        <v>345.95</v>
      </c>
    </row>
    <row r="316" spans="1:18" x14ac:dyDescent="0.3">
      <c r="A316" t="s">
        <v>660</v>
      </c>
      <c r="B316" t="s">
        <v>661</v>
      </c>
      <c r="C316" t="s">
        <v>20</v>
      </c>
      <c r="D316" t="s">
        <v>30</v>
      </c>
      <c r="E316" t="s">
        <v>26</v>
      </c>
      <c r="F316" s="1">
        <v>45463</v>
      </c>
      <c r="G316" s="1">
        <v>45470</v>
      </c>
      <c r="H316">
        <v>172157</v>
      </c>
      <c r="I316">
        <v>8039</v>
      </c>
      <c r="J316">
        <v>628</v>
      </c>
      <c r="K316">
        <v>18869.22</v>
      </c>
      <c r="L316">
        <v>38553.15</v>
      </c>
      <c r="M316">
        <v>4.67</v>
      </c>
      <c r="N316">
        <v>7.82</v>
      </c>
      <c r="O316">
        <v>2.35</v>
      </c>
      <c r="P316">
        <v>30.05</v>
      </c>
      <c r="Q316">
        <v>2.04</v>
      </c>
      <c r="R316">
        <v>104.32</v>
      </c>
    </row>
    <row r="317" spans="1:18" x14ac:dyDescent="0.3">
      <c r="A317" t="s">
        <v>662</v>
      </c>
      <c r="B317" t="s">
        <v>663</v>
      </c>
      <c r="C317" t="s">
        <v>25</v>
      </c>
      <c r="D317" t="s">
        <v>57</v>
      </c>
      <c r="E317" t="s">
        <v>26</v>
      </c>
      <c r="F317" s="1">
        <v>45364</v>
      </c>
      <c r="G317" s="1">
        <v>45388</v>
      </c>
      <c r="H317">
        <v>157580</v>
      </c>
      <c r="I317">
        <v>2678</v>
      </c>
      <c r="J317">
        <v>178</v>
      </c>
      <c r="K317">
        <v>11872.46</v>
      </c>
      <c r="L317">
        <v>26944.880000000001</v>
      </c>
      <c r="M317">
        <v>1.7</v>
      </c>
      <c r="N317">
        <v>6.67</v>
      </c>
      <c r="O317">
        <v>4.43</v>
      </c>
      <c r="P317">
        <v>66.7</v>
      </c>
      <c r="Q317">
        <v>2.27</v>
      </c>
      <c r="R317">
        <v>126.95</v>
      </c>
    </row>
    <row r="318" spans="1:18" x14ac:dyDescent="0.3">
      <c r="A318" t="s">
        <v>664</v>
      </c>
      <c r="B318" t="s">
        <v>665</v>
      </c>
      <c r="C318" t="s">
        <v>20</v>
      </c>
      <c r="D318" t="s">
        <v>21</v>
      </c>
      <c r="E318" t="s">
        <v>41</v>
      </c>
      <c r="F318" s="1">
        <v>45335</v>
      </c>
      <c r="G318" s="1">
        <v>45379</v>
      </c>
      <c r="H318">
        <v>493287</v>
      </c>
      <c r="I318">
        <v>22592</v>
      </c>
      <c r="J318">
        <v>1854</v>
      </c>
      <c r="K318">
        <v>12449.84</v>
      </c>
      <c r="L318">
        <v>79498.41</v>
      </c>
      <c r="M318">
        <v>4.58</v>
      </c>
      <c r="N318">
        <v>8.2100000000000009</v>
      </c>
      <c r="O318">
        <v>0.55000000000000004</v>
      </c>
      <c r="P318">
        <v>6.72</v>
      </c>
      <c r="Q318">
        <v>6.39</v>
      </c>
      <c r="R318">
        <v>538.54999999999995</v>
      </c>
    </row>
    <row r="319" spans="1:18" x14ac:dyDescent="0.3">
      <c r="A319" t="s">
        <v>666</v>
      </c>
      <c r="B319" t="s">
        <v>667</v>
      </c>
      <c r="C319" t="s">
        <v>20</v>
      </c>
      <c r="D319" t="s">
        <v>34</v>
      </c>
      <c r="E319" t="s">
        <v>38</v>
      </c>
      <c r="F319" s="1">
        <v>45441</v>
      </c>
      <c r="G319" s="1">
        <v>45464</v>
      </c>
      <c r="H319">
        <v>89232</v>
      </c>
      <c r="I319">
        <v>4345</v>
      </c>
      <c r="J319">
        <v>189</v>
      </c>
      <c r="K319">
        <v>18248.88</v>
      </c>
      <c r="L319">
        <v>47231.519999999997</v>
      </c>
      <c r="M319">
        <v>4.87</v>
      </c>
      <c r="N319">
        <v>4.37</v>
      </c>
      <c r="O319">
        <v>4.2</v>
      </c>
      <c r="P319">
        <v>96.55</v>
      </c>
      <c r="Q319">
        <v>2.59</v>
      </c>
      <c r="R319">
        <v>158.82</v>
      </c>
    </row>
    <row r="320" spans="1:18" x14ac:dyDescent="0.3">
      <c r="A320" t="s">
        <v>668</v>
      </c>
      <c r="B320" t="s">
        <v>669</v>
      </c>
      <c r="C320" t="s">
        <v>44</v>
      </c>
      <c r="D320" t="s">
        <v>30</v>
      </c>
      <c r="E320" t="s">
        <v>22</v>
      </c>
      <c r="F320" s="1">
        <v>45591</v>
      </c>
      <c r="G320" s="1">
        <v>45604</v>
      </c>
      <c r="H320">
        <v>216753</v>
      </c>
      <c r="I320">
        <v>5158</v>
      </c>
      <c r="J320">
        <v>119</v>
      </c>
      <c r="K320">
        <v>14294.43</v>
      </c>
      <c r="L320">
        <v>37344.25</v>
      </c>
      <c r="M320">
        <v>2.38</v>
      </c>
      <c r="N320">
        <v>2.3199999999999998</v>
      </c>
      <c r="O320">
        <v>2.77</v>
      </c>
      <c r="P320">
        <v>120.12</v>
      </c>
      <c r="Q320">
        <v>2.61</v>
      </c>
      <c r="R320">
        <v>161.25</v>
      </c>
    </row>
    <row r="321" spans="1:18" x14ac:dyDescent="0.3">
      <c r="A321" t="s">
        <v>670</v>
      </c>
      <c r="B321" t="s">
        <v>671</v>
      </c>
      <c r="C321" t="s">
        <v>29</v>
      </c>
      <c r="D321" t="s">
        <v>21</v>
      </c>
      <c r="E321" t="s">
        <v>41</v>
      </c>
      <c r="F321" s="1">
        <v>45398</v>
      </c>
      <c r="G321" s="1">
        <v>45433</v>
      </c>
      <c r="H321">
        <v>285702</v>
      </c>
      <c r="I321">
        <v>8285</v>
      </c>
      <c r="J321">
        <v>333</v>
      </c>
      <c r="K321">
        <v>11038.87</v>
      </c>
      <c r="L321">
        <v>69995.89</v>
      </c>
      <c r="M321">
        <v>2.9</v>
      </c>
      <c r="N321">
        <v>4.03</v>
      </c>
      <c r="O321">
        <v>1.33</v>
      </c>
      <c r="P321">
        <v>33.15</v>
      </c>
      <c r="Q321">
        <v>6.34</v>
      </c>
      <c r="R321">
        <v>534.09</v>
      </c>
    </row>
    <row r="322" spans="1:18" x14ac:dyDescent="0.3">
      <c r="A322" t="s">
        <v>672</v>
      </c>
      <c r="B322" t="s">
        <v>673</v>
      </c>
      <c r="C322" t="s">
        <v>44</v>
      </c>
      <c r="D322" t="s">
        <v>30</v>
      </c>
      <c r="E322" t="s">
        <v>22</v>
      </c>
      <c r="F322" s="1">
        <v>45600</v>
      </c>
      <c r="G322" s="1">
        <v>45609</v>
      </c>
      <c r="H322">
        <v>496946</v>
      </c>
      <c r="I322">
        <v>7503</v>
      </c>
      <c r="J322">
        <v>153</v>
      </c>
      <c r="K322">
        <v>11075.69</v>
      </c>
      <c r="L322">
        <v>63338.99</v>
      </c>
      <c r="M322">
        <v>1.51</v>
      </c>
      <c r="N322">
        <v>2.0499999999999998</v>
      </c>
      <c r="O322">
        <v>1.48</v>
      </c>
      <c r="P322">
        <v>72.39</v>
      </c>
      <c r="Q322">
        <v>5.72</v>
      </c>
      <c r="R322">
        <v>471.87</v>
      </c>
    </row>
    <row r="323" spans="1:18" x14ac:dyDescent="0.3">
      <c r="A323" t="s">
        <v>674</v>
      </c>
      <c r="B323" t="s">
        <v>675</v>
      </c>
      <c r="C323" t="s">
        <v>29</v>
      </c>
      <c r="D323" t="s">
        <v>57</v>
      </c>
      <c r="E323" t="s">
        <v>41</v>
      </c>
      <c r="F323" s="1">
        <v>45445</v>
      </c>
      <c r="G323" s="1">
        <v>45468</v>
      </c>
      <c r="H323">
        <v>97821</v>
      </c>
      <c r="I323">
        <v>3550</v>
      </c>
      <c r="J323">
        <v>242</v>
      </c>
      <c r="K323">
        <v>8943.67</v>
      </c>
      <c r="L323">
        <v>19857.43</v>
      </c>
      <c r="M323">
        <v>3.63</v>
      </c>
      <c r="N323">
        <v>6.84</v>
      </c>
      <c r="O323">
        <v>2.52</v>
      </c>
      <c r="P323">
        <v>36.96</v>
      </c>
      <c r="Q323">
        <v>2.2200000000000002</v>
      </c>
      <c r="R323">
        <v>122.03</v>
      </c>
    </row>
    <row r="324" spans="1:18" x14ac:dyDescent="0.3">
      <c r="A324" t="s">
        <v>676</v>
      </c>
      <c r="B324" t="s">
        <v>677</v>
      </c>
      <c r="C324" t="s">
        <v>29</v>
      </c>
      <c r="D324" t="s">
        <v>21</v>
      </c>
      <c r="E324" t="s">
        <v>38</v>
      </c>
      <c r="F324" s="1">
        <v>45363</v>
      </c>
      <c r="G324" s="1">
        <v>45377</v>
      </c>
      <c r="H324">
        <v>498057</v>
      </c>
      <c r="I324">
        <v>14244</v>
      </c>
      <c r="J324">
        <v>817</v>
      </c>
      <c r="K324">
        <v>6747.79</v>
      </c>
      <c r="L324">
        <v>27525.55</v>
      </c>
      <c r="M324">
        <v>2.86</v>
      </c>
      <c r="N324">
        <v>5.74</v>
      </c>
      <c r="O324">
        <v>0.47</v>
      </c>
      <c r="P324">
        <v>8.26</v>
      </c>
      <c r="Q324">
        <v>4.08</v>
      </c>
      <c r="R324">
        <v>307.92</v>
      </c>
    </row>
    <row r="325" spans="1:18" x14ac:dyDescent="0.3">
      <c r="A325" t="s">
        <v>678</v>
      </c>
      <c r="B325" t="s">
        <v>679</v>
      </c>
      <c r="C325" t="s">
        <v>20</v>
      </c>
      <c r="D325" t="s">
        <v>21</v>
      </c>
      <c r="E325" t="s">
        <v>41</v>
      </c>
      <c r="F325" s="1">
        <v>45335</v>
      </c>
      <c r="G325" s="1">
        <v>45379</v>
      </c>
      <c r="H325">
        <v>118532</v>
      </c>
      <c r="I325">
        <v>3899</v>
      </c>
      <c r="J325">
        <v>249</v>
      </c>
      <c r="K325">
        <v>18725.71</v>
      </c>
      <c r="L325">
        <v>116456.82</v>
      </c>
      <c r="M325">
        <v>3.29</v>
      </c>
      <c r="N325">
        <v>6.4</v>
      </c>
      <c r="O325">
        <v>4.8</v>
      </c>
      <c r="P325">
        <v>75.2</v>
      </c>
      <c r="Q325">
        <v>6.22</v>
      </c>
      <c r="R325">
        <v>521.91</v>
      </c>
    </row>
    <row r="326" spans="1:18" x14ac:dyDescent="0.3">
      <c r="A326" t="s">
        <v>680</v>
      </c>
      <c r="B326" t="s">
        <v>681</v>
      </c>
      <c r="C326" t="s">
        <v>37</v>
      </c>
      <c r="D326" t="s">
        <v>57</v>
      </c>
      <c r="E326" t="s">
        <v>26</v>
      </c>
      <c r="F326" s="1">
        <v>45339</v>
      </c>
      <c r="G326" s="1">
        <v>45367</v>
      </c>
      <c r="H326">
        <v>61429</v>
      </c>
      <c r="I326">
        <v>6130</v>
      </c>
      <c r="J326">
        <v>611</v>
      </c>
      <c r="K326">
        <v>3406.94</v>
      </c>
      <c r="L326">
        <v>19221.419999999998</v>
      </c>
      <c r="M326">
        <v>9.98</v>
      </c>
      <c r="N326">
        <v>9.98</v>
      </c>
      <c r="O326">
        <v>0.56000000000000005</v>
      </c>
      <c r="P326">
        <v>5.58</v>
      </c>
      <c r="Q326">
        <v>5.64</v>
      </c>
      <c r="R326">
        <v>464.18</v>
      </c>
    </row>
    <row r="327" spans="1:18" x14ac:dyDescent="0.3">
      <c r="A327" t="s">
        <v>682</v>
      </c>
      <c r="B327" t="s">
        <v>683</v>
      </c>
      <c r="C327" t="s">
        <v>20</v>
      </c>
      <c r="D327" t="s">
        <v>21</v>
      </c>
      <c r="E327" t="s">
        <v>38</v>
      </c>
      <c r="F327" s="1">
        <v>45307</v>
      </c>
      <c r="G327" s="1">
        <v>45338</v>
      </c>
      <c r="H327">
        <v>76548</v>
      </c>
      <c r="I327">
        <v>2426</v>
      </c>
      <c r="J327">
        <v>180</v>
      </c>
      <c r="K327">
        <v>21433.71</v>
      </c>
      <c r="L327">
        <v>80965.710000000006</v>
      </c>
      <c r="M327">
        <v>3.17</v>
      </c>
      <c r="N327">
        <v>7.44</v>
      </c>
      <c r="O327">
        <v>8.83</v>
      </c>
      <c r="P327">
        <v>119.08</v>
      </c>
      <c r="Q327">
        <v>3.78</v>
      </c>
      <c r="R327">
        <v>277.75</v>
      </c>
    </row>
    <row r="328" spans="1:18" x14ac:dyDescent="0.3">
      <c r="A328" t="s">
        <v>684</v>
      </c>
      <c r="B328" t="s">
        <v>685</v>
      </c>
      <c r="C328" t="s">
        <v>25</v>
      </c>
      <c r="D328" t="s">
        <v>34</v>
      </c>
      <c r="E328" t="s">
        <v>22</v>
      </c>
      <c r="F328" s="1">
        <v>45606</v>
      </c>
      <c r="G328" s="1">
        <v>45628</v>
      </c>
      <c r="H328">
        <v>162573</v>
      </c>
      <c r="I328">
        <v>3804</v>
      </c>
      <c r="J328">
        <v>263</v>
      </c>
      <c r="K328">
        <v>11136.18</v>
      </c>
      <c r="L328">
        <v>29720.7</v>
      </c>
      <c r="M328">
        <v>2.34</v>
      </c>
      <c r="N328">
        <v>6.92</v>
      </c>
      <c r="O328">
        <v>2.93</v>
      </c>
      <c r="P328">
        <v>42.34</v>
      </c>
      <c r="Q328">
        <v>2.67</v>
      </c>
      <c r="R328">
        <v>166.88</v>
      </c>
    </row>
    <row r="329" spans="1:18" x14ac:dyDescent="0.3">
      <c r="A329" t="s">
        <v>686</v>
      </c>
      <c r="B329" t="s">
        <v>687</v>
      </c>
      <c r="C329" t="s">
        <v>44</v>
      </c>
      <c r="D329" t="s">
        <v>30</v>
      </c>
      <c r="E329" t="s">
        <v>38</v>
      </c>
      <c r="F329" s="1">
        <v>45621</v>
      </c>
      <c r="G329" s="1">
        <v>45661</v>
      </c>
      <c r="H329">
        <v>338719</v>
      </c>
      <c r="I329">
        <v>8298</v>
      </c>
      <c r="J329">
        <v>150</v>
      </c>
      <c r="K329">
        <v>7287.69</v>
      </c>
      <c r="L329">
        <v>28324.02</v>
      </c>
      <c r="M329">
        <v>2.4500000000000002</v>
      </c>
      <c r="N329">
        <v>1.81</v>
      </c>
      <c r="O329">
        <v>0.88</v>
      </c>
      <c r="P329">
        <v>48.58</v>
      </c>
      <c r="Q329">
        <v>3.89</v>
      </c>
      <c r="R329">
        <v>288.66000000000003</v>
      </c>
    </row>
    <row r="330" spans="1:18" x14ac:dyDescent="0.3">
      <c r="A330" t="s">
        <v>688</v>
      </c>
      <c r="B330" t="s">
        <v>689</v>
      </c>
      <c r="C330" t="s">
        <v>29</v>
      </c>
      <c r="D330" t="s">
        <v>21</v>
      </c>
      <c r="E330" t="s">
        <v>38</v>
      </c>
      <c r="F330" s="1">
        <v>45581</v>
      </c>
      <c r="G330" s="1">
        <v>45620</v>
      </c>
      <c r="H330">
        <v>459949</v>
      </c>
      <c r="I330">
        <v>16742</v>
      </c>
      <c r="J330">
        <v>736</v>
      </c>
      <c r="K330">
        <v>14721.53</v>
      </c>
      <c r="L330">
        <v>52234.25</v>
      </c>
      <c r="M330">
        <v>3.64</v>
      </c>
      <c r="N330">
        <v>4.4000000000000004</v>
      </c>
      <c r="O330">
        <v>0.88</v>
      </c>
      <c r="P330">
        <v>20</v>
      </c>
      <c r="Q330">
        <v>3.55</v>
      </c>
      <c r="R330">
        <v>254.82</v>
      </c>
    </row>
    <row r="331" spans="1:18" x14ac:dyDescent="0.3">
      <c r="A331" t="s">
        <v>690</v>
      </c>
      <c r="B331" t="s">
        <v>691</v>
      </c>
      <c r="C331" t="s">
        <v>44</v>
      </c>
      <c r="D331" t="s">
        <v>30</v>
      </c>
      <c r="E331" t="s">
        <v>22</v>
      </c>
      <c r="F331" s="1">
        <v>45435</v>
      </c>
      <c r="G331" s="1">
        <v>45445</v>
      </c>
      <c r="H331">
        <v>144275</v>
      </c>
      <c r="I331">
        <v>1832</v>
      </c>
      <c r="J331">
        <v>65</v>
      </c>
      <c r="K331">
        <v>2866.29</v>
      </c>
      <c r="L331">
        <v>16189.1</v>
      </c>
      <c r="M331">
        <v>1.27</v>
      </c>
      <c r="N331">
        <v>3.59</v>
      </c>
      <c r="O331">
        <v>1.56</v>
      </c>
      <c r="P331">
        <v>44.1</v>
      </c>
      <c r="Q331">
        <v>5.65</v>
      </c>
      <c r="R331">
        <v>464.81</v>
      </c>
    </row>
    <row r="332" spans="1:18" x14ac:dyDescent="0.3">
      <c r="A332" t="s">
        <v>692</v>
      </c>
      <c r="B332" t="s">
        <v>693</v>
      </c>
      <c r="C332" t="s">
        <v>25</v>
      </c>
      <c r="D332" t="s">
        <v>57</v>
      </c>
      <c r="E332" t="s">
        <v>31</v>
      </c>
      <c r="F332" s="1">
        <v>45320</v>
      </c>
      <c r="G332" s="1">
        <v>45341</v>
      </c>
      <c r="H332">
        <v>172034</v>
      </c>
      <c r="I332">
        <v>4232</v>
      </c>
      <c r="J332">
        <v>241</v>
      </c>
      <c r="K332">
        <v>14509.83</v>
      </c>
      <c r="L332">
        <v>46422.34</v>
      </c>
      <c r="M332">
        <v>2.46</v>
      </c>
      <c r="N332">
        <v>5.7</v>
      </c>
      <c r="O332">
        <v>3.43</v>
      </c>
      <c r="P332">
        <v>60.21</v>
      </c>
      <c r="Q332">
        <v>3.2</v>
      </c>
      <c r="R332">
        <v>219.94</v>
      </c>
    </row>
    <row r="333" spans="1:18" x14ac:dyDescent="0.3">
      <c r="A333" t="s">
        <v>694</v>
      </c>
      <c r="B333" t="s">
        <v>695</v>
      </c>
      <c r="C333" t="s">
        <v>37</v>
      </c>
      <c r="D333" t="s">
        <v>30</v>
      </c>
      <c r="E333" t="s">
        <v>22</v>
      </c>
      <c r="F333" s="1">
        <v>45475</v>
      </c>
      <c r="G333" s="1">
        <v>45519</v>
      </c>
      <c r="H333">
        <v>489994</v>
      </c>
      <c r="I333">
        <v>48754</v>
      </c>
      <c r="J333">
        <v>4748</v>
      </c>
      <c r="K333">
        <v>1564.48</v>
      </c>
      <c r="L333">
        <v>5367.76</v>
      </c>
      <c r="M333">
        <v>9.9499999999999993</v>
      </c>
      <c r="N333">
        <v>9.74</v>
      </c>
      <c r="O333">
        <v>0.03</v>
      </c>
      <c r="P333">
        <v>0.33</v>
      </c>
      <c r="Q333">
        <v>3.43</v>
      </c>
      <c r="R333">
        <v>243.1</v>
      </c>
    </row>
    <row r="334" spans="1:18" x14ac:dyDescent="0.3">
      <c r="A334" t="s">
        <v>696</v>
      </c>
      <c r="B334" t="s">
        <v>697</v>
      </c>
      <c r="C334" t="s">
        <v>20</v>
      </c>
      <c r="D334" t="s">
        <v>57</v>
      </c>
      <c r="E334" t="s">
        <v>31</v>
      </c>
      <c r="F334" s="1">
        <v>45544</v>
      </c>
      <c r="G334" s="1">
        <v>45585</v>
      </c>
      <c r="H334">
        <v>345492</v>
      </c>
      <c r="I334">
        <v>10606</v>
      </c>
      <c r="J334">
        <v>1027</v>
      </c>
      <c r="K334">
        <v>21733.94</v>
      </c>
      <c r="L334">
        <v>122727.33</v>
      </c>
      <c r="M334">
        <v>3.07</v>
      </c>
      <c r="N334">
        <v>9.69</v>
      </c>
      <c r="O334">
        <v>2.0499999999999998</v>
      </c>
      <c r="P334">
        <v>21.16</v>
      </c>
      <c r="Q334">
        <v>5.65</v>
      </c>
      <c r="R334">
        <v>464.68</v>
      </c>
    </row>
    <row r="335" spans="1:18" x14ac:dyDescent="0.3">
      <c r="A335" t="s">
        <v>698</v>
      </c>
      <c r="B335" t="s">
        <v>699</v>
      </c>
      <c r="C335" t="s">
        <v>44</v>
      </c>
      <c r="D335" t="s">
        <v>34</v>
      </c>
      <c r="E335" t="s">
        <v>38</v>
      </c>
      <c r="F335" s="1">
        <v>45292</v>
      </c>
      <c r="G335" s="1">
        <v>45320</v>
      </c>
      <c r="H335">
        <v>69903</v>
      </c>
      <c r="I335">
        <v>999</v>
      </c>
      <c r="J335">
        <v>23</v>
      </c>
      <c r="K335">
        <v>5235.1099999999997</v>
      </c>
      <c r="L335">
        <v>22872.29</v>
      </c>
      <c r="M335">
        <v>1.43</v>
      </c>
      <c r="N335">
        <v>2.31</v>
      </c>
      <c r="O335">
        <v>5.24</v>
      </c>
      <c r="P335">
        <v>227.61</v>
      </c>
      <c r="Q335">
        <v>4.37</v>
      </c>
      <c r="R335">
        <v>336.9</v>
      </c>
    </row>
    <row r="336" spans="1:18" x14ac:dyDescent="0.3">
      <c r="A336" t="s">
        <v>700</v>
      </c>
      <c r="B336" t="s">
        <v>701</v>
      </c>
      <c r="C336" t="s">
        <v>37</v>
      </c>
      <c r="D336" t="s">
        <v>34</v>
      </c>
      <c r="E336" t="s">
        <v>41</v>
      </c>
      <c r="F336" s="1">
        <v>45303</v>
      </c>
      <c r="G336" s="1">
        <v>45319</v>
      </c>
      <c r="H336">
        <v>228655</v>
      </c>
      <c r="I336">
        <v>18978</v>
      </c>
      <c r="J336">
        <v>3262</v>
      </c>
      <c r="K336">
        <v>4299.28</v>
      </c>
      <c r="L336">
        <v>14858.96</v>
      </c>
      <c r="M336">
        <v>8.3000000000000007</v>
      </c>
      <c r="N336">
        <v>17.190000000000001</v>
      </c>
      <c r="O336">
        <v>0.23</v>
      </c>
      <c r="P336">
        <v>1.32</v>
      </c>
      <c r="Q336">
        <v>3.46</v>
      </c>
      <c r="R336">
        <v>245.62</v>
      </c>
    </row>
    <row r="337" spans="1:18" x14ac:dyDescent="0.3">
      <c r="A337" t="s">
        <v>702</v>
      </c>
      <c r="B337" t="s">
        <v>703</v>
      </c>
      <c r="C337" t="s">
        <v>37</v>
      </c>
      <c r="D337" t="s">
        <v>34</v>
      </c>
      <c r="E337" t="s">
        <v>26</v>
      </c>
      <c r="F337" s="1">
        <v>45494</v>
      </c>
      <c r="G337" s="1">
        <v>45538</v>
      </c>
      <c r="H337">
        <v>493799</v>
      </c>
      <c r="I337">
        <v>35356</v>
      </c>
      <c r="J337">
        <v>4118</v>
      </c>
      <c r="K337">
        <v>826.39</v>
      </c>
      <c r="L337">
        <v>4272.78</v>
      </c>
      <c r="M337">
        <v>7.16</v>
      </c>
      <c r="N337">
        <v>11.65</v>
      </c>
      <c r="O337">
        <v>0.02</v>
      </c>
      <c r="P337">
        <v>0.2</v>
      </c>
      <c r="Q337">
        <v>5.17</v>
      </c>
      <c r="R337">
        <v>417.04</v>
      </c>
    </row>
    <row r="338" spans="1:18" x14ac:dyDescent="0.3">
      <c r="A338" t="s">
        <v>704</v>
      </c>
      <c r="B338" t="s">
        <v>705</v>
      </c>
      <c r="C338" t="s">
        <v>20</v>
      </c>
      <c r="D338" t="s">
        <v>57</v>
      </c>
      <c r="E338" t="s">
        <v>22</v>
      </c>
      <c r="F338" s="1">
        <v>45541</v>
      </c>
      <c r="G338" s="1">
        <v>45568</v>
      </c>
      <c r="H338">
        <v>219136</v>
      </c>
      <c r="I338">
        <v>6683</v>
      </c>
      <c r="J338">
        <v>330</v>
      </c>
      <c r="K338">
        <v>23973.87</v>
      </c>
      <c r="L338">
        <v>133373.62</v>
      </c>
      <c r="M338">
        <v>3.05</v>
      </c>
      <c r="N338">
        <v>4.95</v>
      </c>
      <c r="O338">
        <v>3.59</v>
      </c>
      <c r="P338">
        <v>72.650000000000006</v>
      </c>
      <c r="Q338">
        <v>5.56</v>
      </c>
      <c r="R338">
        <v>456.33</v>
      </c>
    </row>
    <row r="339" spans="1:18" x14ac:dyDescent="0.3">
      <c r="A339" t="s">
        <v>706</v>
      </c>
      <c r="B339" t="s">
        <v>707</v>
      </c>
      <c r="C339" t="s">
        <v>29</v>
      </c>
      <c r="D339" t="s">
        <v>57</v>
      </c>
      <c r="E339" t="s">
        <v>41</v>
      </c>
      <c r="F339" s="1">
        <v>45357</v>
      </c>
      <c r="G339" s="1">
        <v>45375</v>
      </c>
      <c r="H339">
        <v>398930</v>
      </c>
      <c r="I339">
        <v>13045</v>
      </c>
      <c r="J339">
        <v>375</v>
      </c>
      <c r="K339">
        <v>7602.35</v>
      </c>
      <c r="L339">
        <v>38758.629999999997</v>
      </c>
      <c r="M339">
        <v>3.27</v>
      </c>
      <c r="N339">
        <v>2.88</v>
      </c>
      <c r="O339">
        <v>0.57999999999999996</v>
      </c>
      <c r="P339">
        <v>20.27</v>
      </c>
      <c r="Q339">
        <v>5.0999999999999996</v>
      </c>
      <c r="R339">
        <v>409.82</v>
      </c>
    </row>
    <row r="340" spans="1:18" x14ac:dyDescent="0.3">
      <c r="A340" t="s">
        <v>708</v>
      </c>
      <c r="B340" t="s">
        <v>709</v>
      </c>
      <c r="C340" t="s">
        <v>20</v>
      </c>
      <c r="D340" t="s">
        <v>30</v>
      </c>
      <c r="E340" t="s">
        <v>31</v>
      </c>
      <c r="F340" s="1">
        <v>45619</v>
      </c>
      <c r="G340" s="1">
        <v>45662</v>
      </c>
      <c r="H340">
        <v>66977</v>
      </c>
      <c r="I340">
        <v>2163</v>
      </c>
      <c r="J340">
        <v>127</v>
      </c>
      <c r="K340">
        <v>21176.14</v>
      </c>
      <c r="L340">
        <v>100612.4</v>
      </c>
      <c r="M340">
        <v>3.23</v>
      </c>
      <c r="N340">
        <v>5.91</v>
      </c>
      <c r="O340">
        <v>9.7899999999999991</v>
      </c>
      <c r="P340">
        <v>166.74</v>
      </c>
      <c r="Q340">
        <v>4.75</v>
      </c>
      <c r="R340">
        <v>375.12</v>
      </c>
    </row>
    <row r="341" spans="1:18" x14ac:dyDescent="0.3">
      <c r="A341" t="s">
        <v>710</v>
      </c>
      <c r="B341" t="s">
        <v>711</v>
      </c>
      <c r="C341" t="s">
        <v>20</v>
      </c>
      <c r="D341" t="s">
        <v>30</v>
      </c>
      <c r="E341" t="s">
        <v>41</v>
      </c>
      <c r="F341" s="1">
        <v>45337</v>
      </c>
      <c r="G341" s="1">
        <v>45365</v>
      </c>
      <c r="H341">
        <v>223627</v>
      </c>
      <c r="I341">
        <v>12254</v>
      </c>
      <c r="J341">
        <v>665</v>
      </c>
      <c r="K341">
        <v>24647.59</v>
      </c>
      <c r="L341">
        <v>67916.27</v>
      </c>
      <c r="M341">
        <v>5.48</v>
      </c>
      <c r="N341">
        <v>5.43</v>
      </c>
      <c r="O341">
        <v>2.0099999999999998</v>
      </c>
      <c r="P341">
        <v>37.06</v>
      </c>
      <c r="Q341">
        <v>2.76</v>
      </c>
      <c r="R341">
        <v>175.55</v>
      </c>
    </row>
    <row r="342" spans="1:18" x14ac:dyDescent="0.3">
      <c r="A342" t="s">
        <v>712</v>
      </c>
      <c r="B342" t="s">
        <v>713</v>
      </c>
      <c r="C342" t="s">
        <v>25</v>
      </c>
      <c r="D342" t="s">
        <v>21</v>
      </c>
      <c r="E342" t="s">
        <v>22</v>
      </c>
      <c r="F342" s="1">
        <v>45292</v>
      </c>
      <c r="G342" s="1">
        <v>45302</v>
      </c>
      <c r="H342">
        <v>159934</v>
      </c>
      <c r="I342">
        <v>1951</v>
      </c>
      <c r="J342">
        <v>106</v>
      </c>
      <c r="K342">
        <v>8106.53</v>
      </c>
      <c r="L342">
        <v>20154.099999999999</v>
      </c>
      <c r="M342">
        <v>1.22</v>
      </c>
      <c r="N342">
        <v>5.47</v>
      </c>
      <c r="O342">
        <v>4.16</v>
      </c>
      <c r="P342">
        <v>76.48</v>
      </c>
      <c r="Q342">
        <v>2.4900000000000002</v>
      </c>
      <c r="R342">
        <v>148.62</v>
      </c>
    </row>
    <row r="343" spans="1:18" x14ac:dyDescent="0.3">
      <c r="A343" t="s">
        <v>714</v>
      </c>
      <c r="B343" t="s">
        <v>715</v>
      </c>
      <c r="C343" t="s">
        <v>25</v>
      </c>
      <c r="D343" t="s">
        <v>30</v>
      </c>
      <c r="E343" t="s">
        <v>38</v>
      </c>
      <c r="F343" s="1">
        <v>45343</v>
      </c>
      <c r="G343" s="1">
        <v>45380</v>
      </c>
      <c r="H343">
        <v>137209</v>
      </c>
      <c r="I343">
        <v>3155</v>
      </c>
      <c r="J343">
        <v>266</v>
      </c>
      <c r="K343">
        <v>10059.4</v>
      </c>
      <c r="L343">
        <v>44835.83</v>
      </c>
      <c r="M343">
        <v>2.2999999999999998</v>
      </c>
      <c r="N343">
        <v>8.4499999999999993</v>
      </c>
      <c r="O343">
        <v>3.19</v>
      </c>
      <c r="P343">
        <v>37.82</v>
      </c>
      <c r="Q343">
        <v>4.46</v>
      </c>
      <c r="R343">
        <v>345.71</v>
      </c>
    </row>
    <row r="344" spans="1:18" x14ac:dyDescent="0.3">
      <c r="A344" t="s">
        <v>716</v>
      </c>
      <c r="B344" t="s">
        <v>717</v>
      </c>
      <c r="C344" t="s">
        <v>37</v>
      </c>
      <c r="D344" t="s">
        <v>34</v>
      </c>
      <c r="E344" t="s">
        <v>41</v>
      </c>
      <c r="F344" s="1">
        <v>45345</v>
      </c>
      <c r="G344" s="1">
        <v>45356</v>
      </c>
      <c r="H344">
        <v>286604</v>
      </c>
      <c r="I344">
        <v>12725</v>
      </c>
      <c r="J344">
        <v>2094</v>
      </c>
      <c r="K344">
        <v>1827.09</v>
      </c>
      <c r="L344">
        <v>6274.64</v>
      </c>
      <c r="M344">
        <v>4.4400000000000004</v>
      </c>
      <c r="N344">
        <v>16.46</v>
      </c>
      <c r="O344">
        <v>0.14000000000000001</v>
      </c>
      <c r="P344">
        <v>0.87</v>
      </c>
      <c r="Q344">
        <v>3.43</v>
      </c>
      <c r="R344">
        <v>243.42</v>
      </c>
    </row>
    <row r="345" spans="1:18" x14ac:dyDescent="0.3">
      <c r="A345" t="s">
        <v>718</v>
      </c>
      <c r="B345" t="s">
        <v>719</v>
      </c>
      <c r="C345" t="s">
        <v>44</v>
      </c>
      <c r="D345" t="s">
        <v>34</v>
      </c>
      <c r="E345" t="s">
        <v>38</v>
      </c>
      <c r="F345" s="1">
        <v>45596</v>
      </c>
      <c r="G345" s="1">
        <v>45633</v>
      </c>
      <c r="H345">
        <v>134360</v>
      </c>
      <c r="I345">
        <v>4165</v>
      </c>
      <c r="J345">
        <v>142</v>
      </c>
      <c r="K345">
        <v>13726.55</v>
      </c>
      <c r="L345">
        <v>33204.129999999997</v>
      </c>
      <c r="M345">
        <v>3.1</v>
      </c>
      <c r="N345">
        <v>3.41</v>
      </c>
      <c r="O345">
        <v>3.3</v>
      </c>
      <c r="P345">
        <v>96.67</v>
      </c>
      <c r="Q345">
        <v>2.42</v>
      </c>
      <c r="R345">
        <v>141.9</v>
      </c>
    </row>
    <row r="346" spans="1:18" x14ac:dyDescent="0.3">
      <c r="A346" t="s">
        <v>720</v>
      </c>
      <c r="B346" t="s">
        <v>721</v>
      </c>
      <c r="C346" t="s">
        <v>20</v>
      </c>
      <c r="D346" t="s">
        <v>30</v>
      </c>
      <c r="E346" t="s">
        <v>41</v>
      </c>
      <c r="F346" s="1">
        <v>45389</v>
      </c>
      <c r="G346" s="1">
        <v>45422</v>
      </c>
      <c r="H346">
        <v>368409</v>
      </c>
      <c r="I346">
        <v>22325</v>
      </c>
      <c r="J346">
        <v>1102</v>
      </c>
      <c r="K346">
        <v>7025.16</v>
      </c>
      <c r="L346">
        <v>20548.43</v>
      </c>
      <c r="M346">
        <v>6.06</v>
      </c>
      <c r="N346">
        <v>4.9400000000000004</v>
      </c>
      <c r="O346">
        <v>0.31</v>
      </c>
      <c r="P346">
        <v>6.37</v>
      </c>
      <c r="Q346">
        <v>2.92</v>
      </c>
      <c r="R346">
        <v>192.5</v>
      </c>
    </row>
    <row r="347" spans="1:18" x14ac:dyDescent="0.3">
      <c r="A347" t="s">
        <v>722</v>
      </c>
      <c r="B347" t="s">
        <v>723</v>
      </c>
      <c r="C347" t="s">
        <v>37</v>
      </c>
      <c r="D347" t="s">
        <v>57</v>
      </c>
      <c r="E347" t="s">
        <v>22</v>
      </c>
      <c r="F347" s="1">
        <v>45370</v>
      </c>
      <c r="G347" s="1">
        <v>45380</v>
      </c>
      <c r="H347">
        <v>205923</v>
      </c>
      <c r="I347">
        <v>11181</v>
      </c>
      <c r="J347">
        <v>950</v>
      </c>
      <c r="K347">
        <v>3072.96</v>
      </c>
      <c r="L347">
        <v>17759.7</v>
      </c>
      <c r="M347">
        <v>5.43</v>
      </c>
      <c r="N347">
        <v>8.5</v>
      </c>
      <c r="O347">
        <v>0.27</v>
      </c>
      <c r="P347">
        <v>3.23</v>
      </c>
      <c r="Q347">
        <v>5.78</v>
      </c>
      <c r="R347">
        <v>477.93</v>
      </c>
    </row>
    <row r="348" spans="1:18" x14ac:dyDescent="0.3">
      <c r="A348" t="s">
        <v>724</v>
      </c>
      <c r="B348" t="s">
        <v>725</v>
      </c>
      <c r="C348" t="s">
        <v>44</v>
      </c>
      <c r="D348" t="s">
        <v>21</v>
      </c>
      <c r="E348" t="s">
        <v>38</v>
      </c>
      <c r="F348" s="1">
        <v>45305</v>
      </c>
      <c r="G348" s="1">
        <v>45325</v>
      </c>
      <c r="H348">
        <v>95942</v>
      </c>
      <c r="I348">
        <v>1890</v>
      </c>
      <c r="J348">
        <v>72</v>
      </c>
      <c r="K348">
        <v>10002.69</v>
      </c>
      <c r="L348">
        <v>28993.16</v>
      </c>
      <c r="M348">
        <v>1.97</v>
      </c>
      <c r="N348">
        <v>3.82</v>
      </c>
      <c r="O348">
        <v>5.29</v>
      </c>
      <c r="P348">
        <v>138.93</v>
      </c>
      <c r="Q348">
        <v>2.9</v>
      </c>
      <c r="R348">
        <v>189.85</v>
      </c>
    </row>
    <row r="349" spans="1:18" x14ac:dyDescent="0.3">
      <c r="A349" t="s">
        <v>726</v>
      </c>
      <c r="B349" t="s">
        <v>727</v>
      </c>
      <c r="C349" t="s">
        <v>29</v>
      </c>
      <c r="D349" t="s">
        <v>57</v>
      </c>
      <c r="E349" t="s">
        <v>26</v>
      </c>
      <c r="F349" s="1">
        <v>45427</v>
      </c>
      <c r="G349" s="1">
        <v>45439</v>
      </c>
      <c r="H349">
        <v>298287</v>
      </c>
      <c r="I349">
        <v>12020</v>
      </c>
      <c r="J349">
        <v>425</v>
      </c>
      <c r="K349">
        <v>8962.01</v>
      </c>
      <c r="L349">
        <v>37648.83</v>
      </c>
      <c r="M349">
        <v>4.03</v>
      </c>
      <c r="N349">
        <v>3.54</v>
      </c>
      <c r="O349">
        <v>0.75</v>
      </c>
      <c r="P349">
        <v>21.09</v>
      </c>
      <c r="Q349">
        <v>4.2</v>
      </c>
      <c r="R349">
        <v>320.08999999999997</v>
      </c>
    </row>
    <row r="350" spans="1:18" x14ac:dyDescent="0.3">
      <c r="A350" t="s">
        <v>728</v>
      </c>
      <c r="B350" t="s">
        <v>729</v>
      </c>
      <c r="C350" t="s">
        <v>37</v>
      </c>
      <c r="D350" t="s">
        <v>30</v>
      </c>
      <c r="E350" t="s">
        <v>41</v>
      </c>
      <c r="F350" s="1">
        <v>45530</v>
      </c>
      <c r="G350" s="1">
        <v>45553</v>
      </c>
      <c r="H350">
        <v>244521</v>
      </c>
      <c r="I350">
        <v>22764</v>
      </c>
      <c r="J350">
        <v>2661</v>
      </c>
      <c r="K350">
        <v>2505.9899999999998</v>
      </c>
      <c r="L350">
        <v>7981.16</v>
      </c>
      <c r="M350">
        <v>9.31</v>
      </c>
      <c r="N350">
        <v>11.69</v>
      </c>
      <c r="O350">
        <v>0.11</v>
      </c>
      <c r="P350">
        <v>0.94</v>
      </c>
      <c r="Q350">
        <v>3.18</v>
      </c>
      <c r="R350">
        <v>218.48</v>
      </c>
    </row>
    <row r="351" spans="1:18" x14ac:dyDescent="0.3">
      <c r="A351" t="s">
        <v>730</v>
      </c>
      <c r="B351" t="s">
        <v>731</v>
      </c>
      <c r="C351" t="s">
        <v>29</v>
      </c>
      <c r="D351" t="s">
        <v>57</v>
      </c>
      <c r="E351" t="s">
        <v>31</v>
      </c>
      <c r="F351" s="1">
        <v>45569</v>
      </c>
      <c r="G351" s="1">
        <v>45602</v>
      </c>
      <c r="H351">
        <v>82316</v>
      </c>
      <c r="I351">
        <v>1605</v>
      </c>
      <c r="J351">
        <v>87</v>
      </c>
      <c r="K351">
        <v>4450.54</v>
      </c>
      <c r="L351">
        <v>22282.23</v>
      </c>
      <c r="M351">
        <v>1.95</v>
      </c>
      <c r="N351">
        <v>5.48</v>
      </c>
      <c r="O351">
        <v>2.77</v>
      </c>
      <c r="P351">
        <v>51.16</v>
      </c>
      <c r="Q351">
        <v>5.01</v>
      </c>
      <c r="R351">
        <v>400.66</v>
      </c>
    </row>
    <row r="352" spans="1:18" x14ac:dyDescent="0.3">
      <c r="A352" t="s">
        <v>732</v>
      </c>
      <c r="B352" t="s">
        <v>733</v>
      </c>
      <c r="C352" t="s">
        <v>37</v>
      </c>
      <c r="D352" t="s">
        <v>34</v>
      </c>
      <c r="E352" t="s">
        <v>31</v>
      </c>
      <c r="F352" s="1">
        <v>45535</v>
      </c>
      <c r="G352" s="1">
        <v>45578</v>
      </c>
      <c r="H352">
        <v>81973</v>
      </c>
      <c r="I352">
        <v>7410</v>
      </c>
      <c r="J352">
        <v>1198</v>
      </c>
      <c r="K352">
        <v>2383.84</v>
      </c>
      <c r="L352">
        <v>10512.29</v>
      </c>
      <c r="M352">
        <v>9.0399999999999991</v>
      </c>
      <c r="N352">
        <v>16.18</v>
      </c>
      <c r="O352">
        <v>0.32</v>
      </c>
      <c r="P352">
        <v>1.99</v>
      </c>
      <c r="Q352">
        <v>4.41</v>
      </c>
      <c r="R352">
        <v>340.98</v>
      </c>
    </row>
    <row r="353" spans="1:18" x14ac:dyDescent="0.3">
      <c r="A353" t="s">
        <v>734</v>
      </c>
      <c r="B353" t="s">
        <v>735</v>
      </c>
      <c r="C353" t="s">
        <v>29</v>
      </c>
      <c r="D353" t="s">
        <v>30</v>
      </c>
      <c r="E353" t="s">
        <v>22</v>
      </c>
      <c r="F353" s="1">
        <v>45556</v>
      </c>
      <c r="G353" s="1">
        <v>45599</v>
      </c>
      <c r="H353">
        <v>91395</v>
      </c>
      <c r="I353">
        <v>2449</v>
      </c>
      <c r="J353">
        <v>153</v>
      </c>
      <c r="K353">
        <v>3520.93</v>
      </c>
      <c r="L353">
        <v>16092.37</v>
      </c>
      <c r="M353">
        <v>2.68</v>
      </c>
      <c r="N353">
        <v>6.27</v>
      </c>
      <c r="O353">
        <v>1.44</v>
      </c>
      <c r="P353">
        <v>23.01</v>
      </c>
      <c r="Q353">
        <v>4.57</v>
      </c>
      <c r="R353">
        <v>357.05</v>
      </c>
    </row>
    <row r="354" spans="1:18" x14ac:dyDescent="0.3">
      <c r="A354" t="s">
        <v>736</v>
      </c>
      <c r="B354" t="s">
        <v>737</v>
      </c>
      <c r="C354" t="s">
        <v>37</v>
      </c>
      <c r="D354" t="s">
        <v>34</v>
      </c>
      <c r="E354" t="s">
        <v>26</v>
      </c>
      <c r="F354" s="1">
        <v>45390</v>
      </c>
      <c r="G354" s="1">
        <v>45405</v>
      </c>
      <c r="H354">
        <v>446984</v>
      </c>
      <c r="I354">
        <v>29903</v>
      </c>
      <c r="J354">
        <v>5230</v>
      </c>
      <c r="K354">
        <v>1252.24</v>
      </c>
      <c r="L354">
        <v>3698.5</v>
      </c>
      <c r="M354">
        <v>6.69</v>
      </c>
      <c r="N354">
        <v>17.489999999999998</v>
      </c>
      <c r="O354">
        <v>0.04</v>
      </c>
      <c r="P354">
        <v>0.24</v>
      </c>
      <c r="Q354">
        <v>2.95</v>
      </c>
      <c r="R354">
        <v>195.35</v>
      </c>
    </row>
    <row r="355" spans="1:18" x14ac:dyDescent="0.3">
      <c r="A355" t="s">
        <v>738</v>
      </c>
      <c r="B355" t="s">
        <v>739</v>
      </c>
      <c r="C355" t="s">
        <v>20</v>
      </c>
      <c r="D355" t="s">
        <v>30</v>
      </c>
      <c r="E355" t="s">
        <v>26</v>
      </c>
      <c r="F355" s="1">
        <v>45424</v>
      </c>
      <c r="G355" s="1">
        <v>45451</v>
      </c>
      <c r="H355">
        <v>408154</v>
      </c>
      <c r="I355">
        <v>17305</v>
      </c>
      <c r="J355">
        <v>1727</v>
      </c>
      <c r="K355">
        <v>17544.52</v>
      </c>
      <c r="L355">
        <v>100942.16</v>
      </c>
      <c r="M355">
        <v>4.24</v>
      </c>
      <c r="N355">
        <v>9.98</v>
      </c>
      <c r="O355">
        <v>1.01</v>
      </c>
      <c r="P355">
        <v>10.16</v>
      </c>
      <c r="Q355">
        <v>5.75</v>
      </c>
      <c r="R355">
        <v>475.35</v>
      </c>
    </row>
    <row r="356" spans="1:18" x14ac:dyDescent="0.3">
      <c r="A356" t="s">
        <v>740</v>
      </c>
      <c r="B356" t="s">
        <v>741</v>
      </c>
      <c r="C356" t="s">
        <v>20</v>
      </c>
      <c r="D356" t="s">
        <v>21</v>
      </c>
      <c r="E356" t="s">
        <v>38</v>
      </c>
      <c r="F356" s="1">
        <v>45298</v>
      </c>
      <c r="G356" s="1">
        <v>45342</v>
      </c>
      <c r="H356">
        <v>341695</v>
      </c>
      <c r="I356">
        <v>13975</v>
      </c>
      <c r="J356">
        <v>832</v>
      </c>
      <c r="K356">
        <v>10524.02</v>
      </c>
      <c r="L356">
        <v>42745.49</v>
      </c>
      <c r="M356">
        <v>4.09</v>
      </c>
      <c r="N356">
        <v>5.96</v>
      </c>
      <c r="O356">
        <v>0.75</v>
      </c>
      <c r="P356">
        <v>12.65</v>
      </c>
      <c r="Q356">
        <v>4.0599999999999996</v>
      </c>
      <c r="R356">
        <v>306.17</v>
      </c>
    </row>
    <row r="357" spans="1:18" x14ac:dyDescent="0.3">
      <c r="A357" t="s">
        <v>742</v>
      </c>
      <c r="B357" t="s">
        <v>743</v>
      </c>
      <c r="C357" t="s">
        <v>37</v>
      </c>
      <c r="D357" t="s">
        <v>30</v>
      </c>
      <c r="E357" t="s">
        <v>26</v>
      </c>
      <c r="F357" s="1">
        <v>45343</v>
      </c>
      <c r="G357" s="1">
        <v>45356</v>
      </c>
      <c r="H357">
        <v>267287</v>
      </c>
      <c r="I357">
        <v>13097</v>
      </c>
      <c r="J357">
        <v>1790</v>
      </c>
      <c r="K357">
        <v>3122.05</v>
      </c>
      <c r="L357">
        <v>19799.240000000002</v>
      </c>
      <c r="M357">
        <v>4.9000000000000004</v>
      </c>
      <c r="N357">
        <v>13.67</v>
      </c>
      <c r="O357">
        <v>0.24</v>
      </c>
      <c r="P357">
        <v>1.74</v>
      </c>
      <c r="Q357">
        <v>6.34</v>
      </c>
      <c r="R357">
        <v>534.16999999999996</v>
      </c>
    </row>
    <row r="358" spans="1:18" x14ac:dyDescent="0.3">
      <c r="A358" t="s">
        <v>744</v>
      </c>
      <c r="B358" t="s">
        <v>745</v>
      </c>
      <c r="C358" t="s">
        <v>37</v>
      </c>
      <c r="D358" t="s">
        <v>21</v>
      </c>
      <c r="E358" t="s">
        <v>22</v>
      </c>
      <c r="F358" s="1">
        <v>45584</v>
      </c>
      <c r="G358" s="1">
        <v>45629</v>
      </c>
      <c r="H358">
        <v>330826</v>
      </c>
      <c r="I358">
        <v>30700</v>
      </c>
      <c r="J358">
        <v>5151</v>
      </c>
      <c r="K358">
        <v>1688.61</v>
      </c>
      <c r="L358">
        <v>8352.7800000000007</v>
      </c>
      <c r="M358">
        <v>9.2799999999999994</v>
      </c>
      <c r="N358">
        <v>16.78</v>
      </c>
      <c r="O358">
        <v>0.06</v>
      </c>
      <c r="P358">
        <v>0.33</v>
      </c>
      <c r="Q358">
        <v>4.95</v>
      </c>
      <c r="R358">
        <v>394.65</v>
      </c>
    </row>
    <row r="359" spans="1:18" x14ac:dyDescent="0.3">
      <c r="A359" t="s">
        <v>746</v>
      </c>
      <c r="B359" t="s">
        <v>747</v>
      </c>
      <c r="C359" t="s">
        <v>25</v>
      </c>
      <c r="D359" t="s">
        <v>21</v>
      </c>
      <c r="E359" t="s">
        <v>41</v>
      </c>
      <c r="F359" s="1">
        <v>45494</v>
      </c>
      <c r="G359" s="1">
        <v>45522</v>
      </c>
      <c r="H359">
        <v>194396</v>
      </c>
      <c r="I359">
        <v>2896</v>
      </c>
      <c r="J359">
        <v>270</v>
      </c>
      <c r="K359">
        <v>14893.01</v>
      </c>
      <c r="L359">
        <v>56708.7</v>
      </c>
      <c r="M359">
        <v>1.49</v>
      </c>
      <c r="N359">
        <v>9.33</v>
      </c>
      <c r="O359">
        <v>5.14</v>
      </c>
      <c r="P359">
        <v>55.16</v>
      </c>
      <c r="Q359">
        <v>3.81</v>
      </c>
      <c r="R359">
        <v>280.77</v>
      </c>
    </row>
    <row r="360" spans="1:18" x14ac:dyDescent="0.3">
      <c r="A360" t="s">
        <v>748</v>
      </c>
      <c r="B360" t="s">
        <v>749</v>
      </c>
      <c r="C360" t="s">
        <v>29</v>
      </c>
      <c r="D360" t="s">
        <v>21</v>
      </c>
      <c r="E360" t="s">
        <v>38</v>
      </c>
      <c r="F360" s="1">
        <v>45435</v>
      </c>
      <c r="G360" s="1">
        <v>45473</v>
      </c>
      <c r="H360">
        <v>190815</v>
      </c>
      <c r="I360">
        <v>7995</v>
      </c>
      <c r="J360">
        <v>167</v>
      </c>
      <c r="K360">
        <v>15260.79</v>
      </c>
      <c r="L360">
        <v>51333.440000000002</v>
      </c>
      <c r="M360">
        <v>4.1900000000000004</v>
      </c>
      <c r="N360">
        <v>2.1</v>
      </c>
      <c r="O360">
        <v>1.91</v>
      </c>
      <c r="P360">
        <v>91.38</v>
      </c>
      <c r="Q360">
        <v>3.36</v>
      </c>
      <c r="R360">
        <v>236.37</v>
      </c>
    </row>
    <row r="361" spans="1:18" x14ac:dyDescent="0.3">
      <c r="A361" t="s">
        <v>750</v>
      </c>
      <c r="B361" t="s">
        <v>751</v>
      </c>
      <c r="C361" t="s">
        <v>20</v>
      </c>
      <c r="D361" t="s">
        <v>34</v>
      </c>
      <c r="E361" t="s">
        <v>41</v>
      </c>
      <c r="F361" s="1">
        <v>45505</v>
      </c>
      <c r="G361" s="1">
        <v>45550</v>
      </c>
      <c r="H361">
        <v>207538</v>
      </c>
      <c r="I361">
        <v>13282</v>
      </c>
      <c r="J361">
        <v>884</v>
      </c>
      <c r="K361">
        <v>21516.47</v>
      </c>
      <c r="L361">
        <v>69119.289999999994</v>
      </c>
      <c r="M361">
        <v>6.4</v>
      </c>
      <c r="N361">
        <v>6.66</v>
      </c>
      <c r="O361">
        <v>1.62</v>
      </c>
      <c r="P361">
        <v>24.34</v>
      </c>
      <c r="Q361">
        <v>3.21</v>
      </c>
      <c r="R361">
        <v>221.24</v>
      </c>
    </row>
    <row r="362" spans="1:18" x14ac:dyDescent="0.3">
      <c r="A362" t="s">
        <v>752</v>
      </c>
      <c r="B362" t="s">
        <v>753</v>
      </c>
      <c r="C362" t="s">
        <v>20</v>
      </c>
      <c r="D362" t="s">
        <v>34</v>
      </c>
      <c r="E362" t="s">
        <v>38</v>
      </c>
      <c r="F362" s="1">
        <v>45483</v>
      </c>
      <c r="G362" s="1">
        <v>45493</v>
      </c>
      <c r="H362">
        <v>160829</v>
      </c>
      <c r="I362">
        <v>9890</v>
      </c>
      <c r="J362">
        <v>636</v>
      </c>
      <c r="K362">
        <v>14689.21</v>
      </c>
      <c r="L362">
        <v>63519.91</v>
      </c>
      <c r="M362">
        <v>6.15</v>
      </c>
      <c r="N362">
        <v>6.44</v>
      </c>
      <c r="O362">
        <v>1.49</v>
      </c>
      <c r="P362">
        <v>23.1</v>
      </c>
      <c r="Q362">
        <v>4.32</v>
      </c>
      <c r="R362">
        <v>332.43</v>
      </c>
    </row>
    <row r="363" spans="1:18" x14ac:dyDescent="0.3">
      <c r="A363" t="s">
        <v>754</v>
      </c>
      <c r="B363" t="s">
        <v>755</v>
      </c>
      <c r="C363" t="s">
        <v>37</v>
      </c>
      <c r="D363" t="s">
        <v>34</v>
      </c>
      <c r="E363" t="s">
        <v>26</v>
      </c>
      <c r="F363" s="1">
        <v>45583</v>
      </c>
      <c r="G363" s="1">
        <v>45591</v>
      </c>
      <c r="H363">
        <v>213118</v>
      </c>
      <c r="I363">
        <v>17603</v>
      </c>
      <c r="J363">
        <v>2117</v>
      </c>
      <c r="K363">
        <v>4012.32</v>
      </c>
      <c r="L363">
        <v>17490.86</v>
      </c>
      <c r="M363">
        <v>8.26</v>
      </c>
      <c r="N363">
        <v>12.03</v>
      </c>
      <c r="O363">
        <v>0.23</v>
      </c>
      <c r="P363">
        <v>1.9</v>
      </c>
      <c r="Q363">
        <v>4.3600000000000003</v>
      </c>
      <c r="R363">
        <v>335.93</v>
      </c>
    </row>
    <row r="364" spans="1:18" x14ac:dyDescent="0.3">
      <c r="A364" t="s">
        <v>756</v>
      </c>
      <c r="B364" t="s">
        <v>757</v>
      </c>
      <c r="C364" t="s">
        <v>29</v>
      </c>
      <c r="D364" t="s">
        <v>34</v>
      </c>
      <c r="E364" t="s">
        <v>41</v>
      </c>
      <c r="F364" s="1">
        <v>45393</v>
      </c>
      <c r="G364" s="1">
        <v>45417</v>
      </c>
      <c r="H364">
        <v>488816</v>
      </c>
      <c r="I364">
        <v>8163</v>
      </c>
      <c r="J364">
        <v>177</v>
      </c>
      <c r="K364">
        <v>3758.39</v>
      </c>
      <c r="L364">
        <v>13611.72</v>
      </c>
      <c r="M364">
        <v>1.67</v>
      </c>
      <c r="N364">
        <v>2.17</v>
      </c>
      <c r="O364">
        <v>0.46</v>
      </c>
      <c r="P364">
        <v>21.23</v>
      </c>
      <c r="Q364">
        <v>3.62</v>
      </c>
      <c r="R364">
        <v>262.17</v>
      </c>
    </row>
    <row r="365" spans="1:18" x14ac:dyDescent="0.3">
      <c r="A365" t="s">
        <v>758</v>
      </c>
      <c r="B365" t="s">
        <v>759</v>
      </c>
      <c r="C365" t="s">
        <v>44</v>
      </c>
      <c r="D365" t="s">
        <v>30</v>
      </c>
      <c r="E365" t="s">
        <v>31</v>
      </c>
      <c r="F365" s="1">
        <v>45596</v>
      </c>
      <c r="G365" s="1">
        <v>45631</v>
      </c>
      <c r="H365">
        <v>258112</v>
      </c>
      <c r="I365">
        <v>7356</v>
      </c>
      <c r="J365">
        <v>141</v>
      </c>
      <c r="K365">
        <v>2882.04</v>
      </c>
      <c r="L365">
        <v>10594.67</v>
      </c>
      <c r="M365">
        <v>2.85</v>
      </c>
      <c r="N365">
        <v>1.93</v>
      </c>
      <c r="O365">
        <v>0.39</v>
      </c>
      <c r="P365">
        <v>20.440000000000001</v>
      </c>
      <c r="Q365">
        <v>3.68</v>
      </c>
      <c r="R365">
        <v>267.61</v>
      </c>
    </row>
    <row r="366" spans="1:18" x14ac:dyDescent="0.3">
      <c r="A366" t="s">
        <v>760</v>
      </c>
      <c r="B366" t="s">
        <v>761</v>
      </c>
      <c r="C366" t="s">
        <v>29</v>
      </c>
      <c r="D366" t="s">
        <v>30</v>
      </c>
      <c r="E366" t="s">
        <v>31</v>
      </c>
      <c r="F366" s="1">
        <v>45338</v>
      </c>
      <c r="G366" s="1">
        <v>45363</v>
      </c>
      <c r="H366">
        <v>339057</v>
      </c>
      <c r="I366">
        <v>8645</v>
      </c>
      <c r="J366">
        <v>243</v>
      </c>
      <c r="K366">
        <v>16417.38</v>
      </c>
      <c r="L366">
        <v>88166.67</v>
      </c>
      <c r="M366">
        <v>2.5499999999999998</v>
      </c>
      <c r="N366">
        <v>2.82</v>
      </c>
      <c r="O366">
        <v>1.9</v>
      </c>
      <c r="P366">
        <v>67.56</v>
      </c>
      <c r="Q366">
        <v>5.37</v>
      </c>
      <c r="R366">
        <v>437.03</v>
      </c>
    </row>
    <row r="367" spans="1:18" x14ac:dyDescent="0.3">
      <c r="A367" t="s">
        <v>762</v>
      </c>
      <c r="B367" t="s">
        <v>763</v>
      </c>
      <c r="C367" t="s">
        <v>20</v>
      </c>
      <c r="D367" t="s">
        <v>30</v>
      </c>
      <c r="E367" t="s">
        <v>26</v>
      </c>
      <c r="F367" s="1">
        <v>45407</v>
      </c>
      <c r="G367" s="1">
        <v>45427</v>
      </c>
      <c r="H367">
        <v>135410</v>
      </c>
      <c r="I367">
        <v>8016</v>
      </c>
      <c r="J367">
        <v>695</v>
      </c>
      <c r="K367">
        <v>9286.3700000000008</v>
      </c>
      <c r="L367">
        <v>27822.71</v>
      </c>
      <c r="M367">
        <v>5.92</v>
      </c>
      <c r="N367">
        <v>8.68</v>
      </c>
      <c r="O367">
        <v>1.1599999999999999</v>
      </c>
      <c r="P367">
        <v>13.36</v>
      </c>
      <c r="Q367">
        <v>3</v>
      </c>
      <c r="R367">
        <v>199.61</v>
      </c>
    </row>
    <row r="368" spans="1:18" x14ac:dyDescent="0.3">
      <c r="A368" t="s">
        <v>764</v>
      </c>
      <c r="B368" t="s">
        <v>765</v>
      </c>
      <c r="C368" t="s">
        <v>44</v>
      </c>
      <c r="D368" t="s">
        <v>30</v>
      </c>
      <c r="E368" t="s">
        <v>31</v>
      </c>
      <c r="F368" s="1">
        <v>45359</v>
      </c>
      <c r="G368" s="1">
        <v>45377</v>
      </c>
      <c r="H368">
        <v>60513</v>
      </c>
      <c r="I368">
        <v>2087</v>
      </c>
      <c r="J368">
        <v>101</v>
      </c>
      <c r="K368">
        <v>11027.5</v>
      </c>
      <c r="L368">
        <v>45581.48</v>
      </c>
      <c r="M368">
        <v>3.45</v>
      </c>
      <c r="N368">
        <v>4.88</v>
      </c>
      <c r="O368">
        <v>5.28</v>
      </c>
      <c r="P368">
        <v>109.18</v>
      </c>
      <c r="Q368">
        <v>4.13</v>
      </c>
      <c r="R368">
        <v>313.33999999999997</v>
      </c>
    </row>
    <row r="369" spans="1:18" x14ac:dyDescent="0.3">
      <c r="A369" t="s">
        <v>766</v>
      </c>
      <c r="B369" t="s">
        <v>767</v>
      </c>
      <c r="C369" t="s">
        <v>37</v>
      </c>
      <c r="D369" t="s">
        <v>21</v>
      </c>
      <c r="E369" t="s">
        <v>41</v>
      </c>
      <c r="F369" s="1">
        <v>45432</v>
      </c>
      <c r="G369" s="1">
        <v>45466</v>
      </c>
      <c r="H369">
        <v>182325</v>
      </c>
      <c r="I369">
        <v>13947</v>
      </c>
      <c r="J369">
        <v>2430</v>
      </c>
      <c r="K369">
        <v>3707.33</v>
      </c>
      <c r="L369">
        <v>19249.04</v>
      </c>
      <c r="M369">
        <v>7.65</v>
      </c>
      <c r="N369">
        <v>17.43</v>
      </c>
      <c r="O369">
        <v>0.27</v>
      </c>
      <c r="P369">
        <v>1.53</v>
      </c>
      <c r="Q369">
        <v>5.19</v>
      </c>
      <c r="R369">
        <v>419.22</v>
      </c>
    </row>
    <row r="370" spans="1:18" x14ac:dyDescent="0.3">
      <c r="A370" t="s">
        <v>768</v>
      </c>
      <c r="B370" t="s">
        <v>769</v>
      </c>
      <c r="C370" t="s">
        <v>25</v>
      </c>
      <c r="D370" t="s">
        <v>57</v>
      </c>
      <c r="E370" t="s">
        <v>38</v>
      </c>
      <c r="F370" s="1">
        <v>45591</v>
      </c>
      <c r="G370" s="1">
        <v>45604</v>
      </c>
      <c r="H370">
        <v>182119</v>
      </c>
      <c r="I370">
        <v>2130</v>
      </c>
      <c r="J370">
        <v>151</v>
      </c>
      <c r="K370">
        <v>12330.21</v>
      </c>
      <c r="L370">
        <v>59261.79</v>
      </c>
      <c r="M370">
        <v>1.17</v>
      </c>
      <c r="N370">
        <v>7.12</v>
      </c>
      <c r="O370">
        <v>5.79</v>
      </c>
      <c r="P370">
        <v>81.66</v>
      </c>
      <c r="Q370">
        <v>4.8099999999999996</v>
      </c>
      <c r="R370">
        <v>380.62</v>
      </c>
    </row>
    <row r="371" spans="1:18" x14ac:dyDescent="0.3">
      <c r="A371" t="s">
        <v>770</v>
      </c>
      <c r="B371" t="s">
        <v>771</v>
      </c>
      <c r="C371" t="s">
        <v>20</v>
      </c>
      <c r="D371" t="s">
        <v>57</v>
      </c>
      <c r="E371" t="s">
        <v>31</v>
      </c>
      <c r="F371" s="1">
        <v>45464</v>
      </c>
      <c r="G371" s="1">
        <v>45488</v>
      </c>
      <c r="H371">
        <v>389393</v>
      </c>
      <c r="I371">
        <v>19002</v>
      </c>
      <c r="J371">
        <v>1083</v>
      </c>
      <c r="K371">
        <v>18688.259999999998</v>
      </c>
      <c r="L371">
        <v>77889.36</v>
      </c>
      <c r="M371">
        <v>4.88</v>
      </c>
      <c r="N371">
        <v>5.7</v>
      </c>
      <c r="O371">
        <v>0.98</v>
      </c>
      <c r="P371">
        <v>17.260000000000002</v>
      </c>
      <c r="Q371">
        <v>4.17</v>
      </c>
      <c r="R371">
        <v>316.77999999999997</v>
      </c>
    </row>
    <row r="372" spans="1:18" x14ac:dyDescent="0.3">
      <c r="A372" t="s">
        <v>772</v>
      </c>
      <c r="B372" t="s">
        <v>773</v>
      </c>
      <c r="C372" t="s">
        <v>44</v>
      </c>
      <c r="D372" t="s">
        <v>57</v>
      </c>
      <c r="E372" t="s">
        <v>22</v>
      </c>
      <c r="F372" s="1">
        <v>45415</v>
      </c>
      <c r="G372" s="1">
        <v>45425</v>
      </c>
      <c r="H372">
        <v>393995</v>
      </c>
      <c r="I372">
        <v>12016</v>
      </c>
      <c r="J372">
        <v>555</v>
      </c>
      <c r="K372">
        <v>6234.89</v>
      </c>
      <c r="L372">
        <v>16676.349999999999</v>
      </c>
      <c r="M372">
        <v>3.05</v>
      </c>
      <c r="N372">
        <v>4.62</v>
      </c>
      <c r="O372">
        <v>0.52</v>
      </c>
      <c r="P372">
        <v>11.23</v>
      </c>
      <c r="Q372">
        <v>2.67</v>
      </c>
      <c r="R372">
        <v>167.47</v>
      </c>
    </row>
    <row r="373" spans="1:18" x14ac:dyDescent="0.3">
      <c r="A373" t="s">
        <v>774</v>
      </c>
      <c r="B373" t="s">
        <v>775</v>
      </c>
      <c r="C373" t="s">
        <v>37</v>
      </c>
      <c r="D373" t="s">
        <v>30</v>
      </c>
      <c r="E373" t="s">
        <v>22</v>
      </c>
      <c r="F373" s="1">
        <v>45506</v>
      </c>
      <c r="G373" s="1">
        <v>45538</v>
      </c>
      <c r="H373">
        <v>406912</v>
      </c>
      <c r="I373">
        <v>19694</v>
      </c>
      <c r="J373">
        <v>1624</v>
      </c>
      <c r="K373">
        <v>2738.18</v>
      </c>
      <c r="L373">
        <v>9118.74</v>
      </c>
      <c r="M373">
        <v>4.84</v>
      </c>
      <c r="N373">
        <v>8.25</v>
      </c>
      <c r="O373">
        <v>0.14000000000000001</v>
      </c>
      <c r="P373">
        <v>1.69</v>
      </c>
      <c r="Q373">
        <v>3.33</v>
      </c>
      <c r="R373">
        <v>233.02</v>
      </c>
    </row>
    <row r="374" spans="1:18" x14ac:dyDescent="0.3">
      <c r="A374" t="s">
        <v>776</v>
      </c>
      <c r="B374" t="s">
        <v>777</v>
      </c>
      <c r="C374" t="s">
        <v>25</v>
      </c>
      <c r="D374" t="s">
        <v>21</v>
      </c>
      <c r="E374" t="s">
        <v>31</v>
      </c>
      <c r="F374" s="1">
        <v>45565</v>
      </c>
      <c r="G374" s="1">
        <v>45602</v>
      </c>
      <c r="H374">
        <v>421232</v>
      </c>
      <c r="I374">
        <v>10488</v>
      </c>
      <c r="J374">
        <v>1123</v>
      </c>
      <c r="K374">
        <v>9490.67</v>
      </c>
      <c r="L374">
        <v>49447.93</v>
      </c>
      <c r="M374">
        <v>2.4900000000000002</v>
      </c>
      <c r="N374">
        <v>10.71</v>
      </c>
      <c r="O374">
        <v>0.9</v>
      </c>
      <c r="P374">
        <v>8.4499999999999993</v>
      </c>
      <c r="Q374">
        <v>5.21</v>
      </c>
      <c r="R374">
        <v>421.02</v>
      </c>
    </row>
    <row r="375" spans="1:18" x14ac:dyDescent="0.3">
      <c r="A375" t="s">
        <v>778</v>
      </c>
      <c r="B375" t="s">
        <v>779</v>
      </c>
      <c r="C375" t="s">
        <v>44</v>
      </c>
      <c r="D375" t="s">
        <v>57</v>
      </c>
      <c r="E375" t="s">
        <v>41</v>
      </c>
      <c r="F375" s="1">
        <v>45424</v>
      </c>
      <c r="G375" s="1">
        <v>45466</v>
      </c>
      <c r="H375">
        <v>490736</v>
      </c>
      <c r="I375">
        <v>14280</v>
      </c>
      <c r="J375">
        <v>492</v>
      </c>
      <c r="K375">
        <v>6172.3</v>
      </c>
      <c r="L375">
        <v>25420.7</v>
      </c>
      <c r="M375">
        <v>2.91</v>
      </c>
      <c r="N375">
        <v>3.45</v>
      </c>
      <c r="O375">
        <v>0.43</v>
      </c>
      <c r="P375">
        <v>12.55</v>
      </c>
      <c r="Q375">
        <v>4.12</v>
      </c>
      <c r="R375">
        <v>311.85000000000002</v>
      </c>
    </row>
    <row r="376" spans="1:18" x14ac:dyDescent="0.3">
      <c r="A376" t="s">
        <v>780</v>
      </c>
      <c r="B376" t="s">
        <v>781</v>
      </c>
      <c r="C376" t="s">
        <v>29</v>
      </c>
      <c r="D376" t="s">
        <v>57</v>
      </c>
      <c r="E376" t="s">
        <v>26</v>
      </c>
      <c r="F376" s="1">
        <v>45461</v>
      </c>
      <c r="G376" s="1">
        <v>45491</v>
      </c>
      <c r="H376">
        <v>166524</v>
      </c>
      <c r="I376">
        <v>4279</v>
      </c>
      <c r="J376">
        <v>244</v>
      </c>
      <c r="K376">
        <v>7606.28</v>
      </c>
      <c r="L376">
        <v>42187.519999999997</v>
      </c>
      <c r="M376">
        <v>2.57</v>
      </c>
      <c r="N376">
        <v>5.72</v>
      </c>
      <c r="O376">
        <v>1.78</v>
      </c>
      <c r="P376">
        <v>31.17</v>
      </c>
      <c r="Q376">
        <v>5.55</v>
      </c>
      <c r="R376">
        <v>454.64</v>
      </c>
    </row>
    <row r="377" spans="1:18" x14ac:dyDescent="0.3">
      <c r="A377" t="s">
        <v>782</v>
      </c>
      <c r="B377" t="s">
        <v>783</v>
      </c>
      <c r="C377" t="s">
        <v>44</v>
      </c>
      <c r="D377" t="s">
        <v>57</v>
      </c>
      <c r="E377" t="s">
        <v>38</v>
      </c>
      <c r="F377" s="1">
        <v>45609</v>
      </c>
      <c r="G377" s="1">
        <v>45620</v>
      </c>
      <c r="H377">
        <v>496281</v>
      </c>
      <c r="I377">
        <v>7493</v>
      </c>
      <c r="J377">
        <v>126</v>
      </c>
      <c r="K377">
        <v>10429.959999999999</v>
      </c>
      <c r="L377">
        <v>48096.81</v>
      </c>
      <c r="M377">
        <v>1.51</v>
      </c>
      <c r="N377">
        <v>1.69</v>
      </c>
      <c r="O377">
        <v>1.39</v>
      </c>
      <c r="P377">
        <v>82.78</v>
      </c>
      <c r="Q377">
        <v>4.6100000000000003</v>
      </c>
      <c r="R377">
        <v>361.14</v>
      </c>
    </row>
    <row r="378" spans="1:18" x14ac:dyDescent="0.3">
      <c r="A378" t="s">
        <v>784</v>
      </c>
      <c r="B378" t="s">
        <v>785</v>
      </c>
      <c r="C378" t="s">
        <v>25</v>
      </c>
      <c r="D378" t="s">
        <v>34</v>
      </c>
      <c r="E378" t="s">
        <v>31</v>
      </c>
      <c r="F378" s="1">
        <v>45369</v>
      </c>
      <c r="G378" s="1">
        <v>45384</v>
      </c>
      <c r="H378">
        <v>112818</v>
      </c>
      <c r="I378">
        <v>2560</v>
      </c>
      <c r="J378">
        <v>196</v>
      </c>
      <c r="K378">
        <v>8773.69</v>
      </c>
      <c r="L378">
        <v>19681.830000000002</v>
      </c>
      <c r="M378">
        <v>2.27</v>
      </c>
      <c r="N378">
        <v>7.67</v>
      </c>
      <c r="O378">
        <v>3.43</v>
      </c>
      <c r="P378">
        <v>44.76</v>
      </c>
      <c r="Q378">
        <v>2.2400000000000002</v>
      </c>
      <c r="R378">
        <v>124.33</v>
      </c>
    </row>
    <row r="379" spans="1:18" x14ac:dyDescent="0.3">
      <c r="A379" t="s">
        <v>786</v>
      </c>
      <c r="B379" t="s">
        <v>787</v>
      </c>
      <c r="C379" t="s">
        <v>29</v>
      </c>
      <c r="D379" t="s">
        <v>57</v>
      </c>
      <c r="E379" t="s">
        <v>38</v>
      </c>
      <c r="F379" s="1">
        <v>45384</v>
      </c>
      <c r="G379" s="1">
        <v>45396</v>
      </c>
      <c r="H379">
        <v>348531</v>
      </c>
      <c r="I379">
        <v>14568</v>
      </c>
      <c r="J379">
        <v>1009</v>
      </c>
      <c r="K379">
        <v>5148.3599999999997</v>
      </c>
      <c r="L379">
        <v>30276.34</v>
      </c>
      <c r="M379">
        <v>4.18</v>
      </c>
      <c r="N379">
        <v>6.93</v>
      </c>
      <c r="O379">
        <v>0.35</v>
      </c>
      <c r="P379">
        <v>5.0999999999999996</v>
      </c>
      <c r="Q379">
        <v>5.88</v>
      </c>
      <c r="R379">
        <v>488.08</v>
      </c>
    </row>
    <row r="380" spans="1:18" x14ac:dyDescent="0.3">
      <c r="A380" t="s">
        <v>788</v>
      </c>
      <c r="B380" t="s">
        <v>789</v>
      </c>
      <c r="C380" t="s">
        <v>25</v>
      </c>
      <c r="D380" t="s">
        <v>57</v>
      </c>
      <c r="E380" t="s">
        <v>41</v>
      </c>
      <c r="F380" s="1">
        <v>45378</v>
      </c>
      <c r="G380" s="1">
        <v>45421</v>
      </c>
      <c r="H380">
        <v>214319</v>
      </c>
      <c r="I380">
        <v>4029</v>
      </c>
      <c r="J380">
        <v>202</v>
      </c>
      <c r="K380">
        <v>8376.4500000000007</v>
      </c>
      <c r="L380">
        <v>45445.34</v>
      </c>
      <c r="M380">
        <v>1.88</v>
      </c>
      <c r="N380">
        <v>5.03</v>
      </c>
      <c r="O380">
        <v>2.08</v>
      </c>
      <c r="P380">
        <v>41.47</v>
      </c>
      <c r="Q380">
        <v>5.43</v>
      </c>
      <c r="R380">
        <v>442.54</v>
      </c>
    </row>
    <row r="381" spans="1:18" x14ac:dyDescent="0.3">
      <c r="A381" t="s">
        <v>790</v>
      </c>
      <c r="B381" t="s">
        <v>791</v>
      </c>
      <c r="C381" t="s">
        <v>29</v>
      </c>
      <c r="D381" t="s">
        <v>30</v>
      </c>
      <c r="E381" t="s">
        <v>26</v>
      </c>
      <c r="F381" s="1">
        <v>45488</v>
      </c>
      <c r="G381" s="1">
        <v>45495</v>
      </c>
      <c r="H381">
        <v>117845</v>
      </c>
      <c r="I381">
        <v>3936</v>
      </c>
      <c r="J381">
        <v>203</v>
      </c>
      <c r="K381">
        <v>9050.9</v>
      </c>
      <c r="L381">
        <v>57418.69</v>
      </c>
      <c r="M381">
        <v>3.34</v>
      </c>
      <c r="N381">
        <v>5.17</v>
      </c>
      <c r="O381">
        <v>2.2999999999999998</v>
      </c>
      <c r="P381">
        <v>44.59</v>
      </c>
      <c r="Q381">
        <v>6.34</v>
      </c>
      <c r="R381">
        <v>534.4</v>
      </c>
    </row>
    <row r="382" spans="1:18" x14ac:dyDescent="0.3">
      <c r="A382" t="s">
        <v>792</v>
      </c>
      <c r="B382" t="s">
        <v>793</v>
      </c>
      <c r="C382" t="s">
        <v>20</v>
      </c>
      <c r="D382" t="s">
        <v>34</v>
      </c>
      <c r="E382" t="s">
        <v>22</v>
      </c>
      <c r="F382" s="1">
        <v>45294</v>
      </c>
      <c r="G382" s="1">
        <v>45316</v>
      </c>
      <c r="H382">
        <v>57380</v>
      </c>
      <c r="I382">
        <v>3482</v>
      </c>
      <c r="J382">
        <v>297</v>
      </c>
      <c r="K382">
        <v>15620.68</v>
      </c>
      <c r="L382">
        <v>32500.74</v>
      </c>
      <c r="M382">
        <v>6.07</v>
      </c>
      <c r="N382">
        <v>8.5399999999999991</v>
      </c>
      <c r="O382">
        <v>4.49</v>
      </c>
      <c r="P382">
        <v>52.59</v>
      </c>
      <c r="Q382">
        <v>2.08</v>
      </c>
      <c r="R382">
        <v>108.06</v>
      </c>
    </row>
    <row r="383" spans="1:18" x14ac:dyDescent="0.3">
      <c r="A383" t="s">
        <v>794</v>
      </c>
      <c r="B383" t="s">
        <v>795</v>
      </c>
      <c r="C383" t="s">
        <v>29</v>
      </c>
      <c r="D383" t="s">
        <v>57</v>
      </c>
      <c r="E383" t="s">
        <v>22</v>
      </c>
      <c r="F383" s="1">
        <v>45315</v>
      </c>
      <c r="G383" s="1">
        <v>45341</v>
      </c>
      <c r="H383">
        <v>117596</v>
      </c>
      <c r="I383">
        <v>2128</v>
      </c>
      <c r="J383">
        <v>96</v>
      </c>
      <c r="K383">
        <v>7591.73</v>
      </c>
      <c r="L383">
        <v>17413.849999999999</v>
      </c>
      <c r="M383">
        <v>1.81</v>
      </c>
      <c r="N383">
        <v>4.5199999999999996</v>
      </c>
      <c r="O383">
        <v>3.57</v>
      </c>
      <c r="P383">
        <v>79.08</v>
      </c>
      <c r="Q383">
        <v>2.29</v>
      </c>
      <c r="R383">
        <v>129.38</v>
      </c>
    </row>
    <row r="384" spans="1:18" x14ac:dyDescent="0.3">
      <c r="A384" t="s">
        <v>796</v>
      </c>
      <c r="B384" t="s">
        <v>797</v>
      </c>
      <c r="C384" t="s">
        <v>44</v>
      </c>
      <c r="D384" t="s">
        <v>30</v>
      </c>
      <c r="E384" t="s">
        <v>31</v>
      </c>
      <c r="F384" s="1">
        <v>45542</v>
      </c>
      <c r="G384" s="1">
        <v>45571</v>
      </c>
      <c r="H384">
        <v>362669</v>
      </c>
      <c r="I384">
        <v>9284</v>
      </c>
      <c r="J384">
        <v>280</v>
      </c>
      <c r="K384">
        <v>11084.75</v>
      </c>
      <c r="L384">
        <v>28843.1</v>
      </c>
      <c r="M384">
        <v>2.56</v>
      </c>
      <c r="N384">
        <v>3.02</v>
      </c>
      <c r="O384">
        <v>1.19</v>
      </c>
      <c r="P384">
        <v>39.590000000000003</v>
      </c>
      <c r="Q384">
        <v>2.6</v>
      </c>
      <c r="R384">
        <v>160.21</v>
      </c>
    </row>
    <row r="385" spans="1:18" x14ac:dyDescent="0.3">
      <c r="A385" t="s">
        <v>798</v>
      </c>
      <c r="B385" t="s">
        <v>799</v>
      </c>
      <c r="C385" t="s">
        <v>29</v>
      </c>
      <c r="D385" t="s">
        <v>34</v>
      </c>
      <c r="E385" t="s">
        <v>38</v>
      </c>
      <c r="F385" s="1">
        <v>45593</v>
      </c>
      <c r="G385" s="1">
        <v>45632</v>
      </c>
      <c r="H385">
        <v>60026</v>
      </c>
      <c r="I385">
        <v>1314</v>
      </c>
      <c r="J385">
        <v>74</v>
      </c>
      <c r="K385">
        <v>4968.09</v>
      </c>
      <c r="L385">
        <v>26347.49</v>
      </c>
      <c r="M385">
        <v>2.19</v>
      </c>
      <c r="N385">
        <v>5.64</v>
      </c>
      <c r="O385">
        <v>3.78</v>
      </c>
      <c r="P385">
        <v>67.14</v>
      </c>
      <c r="Q385">
        <v>5.3</v>
      </c>
      <c r="R385">
        <v>430.33</v>
      </c>
    </row>
    <row r="386" spans="1:18" x14ac:dyDescent="0.3">
      <c r="A386" t="s">
        <v>800</v>
      </c>
      <c r="B386" t="s">
        <v>801</v>
      </c>
      <c r="C386" t="s">
        <v>29</v>
      </c>
      <c r="D386" t="s">
        <v>21</v>
      </c>
      <c r="E386" t="s">
        <v>22</v>
      </c>
      <c r="F386" s="1">
        <v>45565</v>
      </c>
      <c r="G386" s="1">
        <v>45575</v>
      </c>
      <c r="H386">
        <v>422826</v>
      </c>
      <c r="I386">
        <v>14587</v>
      </c>
      <c r="J386">
        <v>319</v>
      </c>
      <c r="K386">
        <v>16148.16</v>
      </c>
      <c r="L386">
        <v>50883.68</v>
      </c>
      <c r="M386">
        <v>3.45</v>
      </c>
      <c r="N386">
        <v>2.19</v>
      </c>
      <c r="O386">
        <v>1.1100000000000001</v>
      </c>
      <c r="P386">
        <v>50.62</v>
      </c>
      <c r="Q386">
        <v>3.15</v>
      </c>
      <c r="R386">
        <v>215.11</v>
      </c>
    </row>
    <row r="387" spans="1:18" x14ac:dyDescent="0.3">
      <c r="A387" t="s">
        <v>802</v>
      </c>
      <c r="B387" t="s">
        <v>803</v>
      </c>
      <c r="C387" t="s">
        <v>37</v>
      </c>
      <c r="D387" t="s">
        <v>21</v>
      </c>
      <c r="E387" t="s">
        <v>26</v>
      </c>
      <c r="F387" s="1">
        <v>45355</v>
      </c>
      <c r="G387" s="1">
        <v>45397</v>
      </c>
      <c r="H387">
        <v>392657</v>
      </c>
      <c r="I387">
        <v>35417</v>
      </c>
      <c r="J387">
        <v>3003</v>
      </c>
      <c r="K387">
        <v>1021.05</v>
      </c>
      <c r="L387">
        <v>4083.6</v>
      </c>
      <c r="M387">
        <v>9.02</v>
      </c>
      <c r="N387">
        <v>8.48</v>
      </c>
      <c r="O387">
        <v>0.03</v>
      </c>
      <c r="P387">
        <v>0.34</v>
      </c>
      <c r="Q387">
        <v>4</v>
      </c>
      <c r="R387">
        <v>299.94</v>
      </c>
    </row>
    <row r="388" spans="1:18" x14ac:dyDescent="0.3">
      <c r="A388" t="s">
        <v>804</v>
      </c>
      <c r="B388" t="s">
        <v>805</v>
      </c>
      <c r="C388" t="s">
        <v>44</v>
      </c>
      <c r="D388" t="s">
        <v>30</v>
      </c>
      <c r="E388" t="s">
        <v>41</v>
      </c>
      <c r="F388" s="1">
        <v>45558</v>
      </c>
      <c r="G388" s="1">
        <v>45582</v>
      </c>
      <c r="H388">
        <v>157738</v>
      </c>
      <c r="I388">
        <v>4747</v>
      </c>
      <c r="J388">
        <v>176</v>
      </c>
      <c r="K388">
        <v>6263.96</v>
      </c>
      <c r="L388">
        <v>31178.799999999999</v>
      </c>
      <c r="M388">
        <v>3.01</v>
      </c>
      <c r="N388">
        <v>3.71</v>
      </c>
      <c r="O388">
        <v>1.32</v>
      </c>
      <c r="P388">
        <v>35.590000000000003</v>
      </c>
      <c r="Q388">
        <v>4.9800000000000004</v>
      </c>
      <c r="R388">
        <v>397.75</v>
      </c>
    </row>
    <row r="389" spans="1:18" x14ac:dyDescent="0.3">
      <c r="A389" t="s">
        <v>806</v>
      </c>
      <c r="B389" t="s">
        <v>807</v>
      </c>
      <c r="C389" t="s">
        <v>37</v>
      </c>
      <c r="D389" t="s">
        <v>34</v>
      </c>
      <c r="E389" t="s">
        <v>38</v>
      </c>
      <c r="F389" s="1">
        <v>45346</v>
      </c>
      <c r="G389" s="1">
        <v>45384</v>
      </c>
      <c r="H389">
        <v>485501</v>
      </c>
      <c r="I389">
        <v>45588</v>
      </c>
      <c r="J389">
        <v>5981</v>
      </c>
      <c r="K389">
        <v>3279.64</v>
      </c>
      <c r="L389">
        <v>10731.57</v>
      </c>
      <c r="M389">
        <v>9.39</v>
      </c>
      <c r="N389">
        <v>13.12</v>
      </c>
      <c r="O389">
        <v>7.0000000000000007E-2</v>
      </c>
      <c r="P389">
        <v>0.55000000000000004</v>
      </c>
      <c r="Q389">
        <v>3.27</v>
      </c>
      <c r="R389">
        <v>227.22</v>
      </c>
    </row>
    <row r="390" spans="1:18" x14ac:dyDescent="0.3">
      <c r="A390" t="s">
        <v>808</v>
      </c>
      <c r="B390" t="s">
        <v>809</v>
      </c>
      <c r="C390" t="s">
        <v>29</v>
      </c>
      <c r="D390" t="s">
        <v>34</v>
      </c>
      <c r="E390" t="s">
        <v>22</v>
      </c>
      <c r="F390" s="1">
        <v>45312</v>
      </c>
      <c r="G390" s="1">
        <v>45354</v>
      </c>
      <c r="H390">
        <v>485944</v>
      </c>
      <c r="I390">
        <v>14918</v>
      </c>
      <c r="J390">
        <v>449</v>
      </c>
      <c r="K390">
        <v>13551.55</v>
      </c>
      <c r="L390">
        <v>45114.2</v>
      </c>
      <c r="M390">
        <v>3.07</v>
      </c>
      <c r="N390">
        <v>3.01</v>
      </c>
      <c r="O390">
        <v>0.91</v>
      </c>
      <c r="P390">
        <v>30.18</v>
      </c>
      <c r="Q390">
        <v>3.33</v>
      </c>
      <c r="R390">
        <v>232.91</v>
      </c>
    </row>
    <row r="391" spans="1:18" x14ac:dyDescent="0.3">
      <c r="A391" t="s">
        <v>810</v>
      </c>
      <c r="B391" t="s">
        <v>811</v>
      </c>
      <c r="C391" t="s">
        <v>25</v>
      </c>
      <c r="D391" t="s">
        <v>34</v>
      </c>
      <c r="E391" t="s">
        <v>38</v>
      </c>
      <c r="F391" s="1">
        <v>45585</v>
      </c>
      <c r="G391" s="1">
        <v>45623</v>
      </c>
      <c r="H391">
        <v>223331</v>
      </c>
      <c r="I391">
        <v>2679</v>
      </c>
      <c r="J391">
        <v>136</v>
      </c>
      <c r="K391">
        <v>5424.05</v>
      </c>
      <c r="L391">
        <v>13543.52</v>
      </c>
      <c r="M391">
        <v>1.2</v>
      </c>
      <c r="N391">
        <v>5.09</v>
      </c>
      <c r="O391">
        <v>2.02</v>
      </c>
      <c r="P391">
        <v>39.880000000000003</v>
      </c>
      <c r="Q391">
        <v>2.5</v>
      </c>
      <c r="R391">
        <v>149.69</v>
      </c>
    </row>
    <row r="392" spans="1:18" x14ac:dyDescent="0.3">
      <c r="A392" t="s">
        <v>812</v>
      </c>
      <c r="B392" t="s">
        <v>813</v>
      </c>
      <c r="C392" t="s">
        <v>29</v>
      </c>
      <c r="D392" t="s">
        <v>21</v>
      </c>
      <c r="E392" t="s">
        <v>31</v>
      </c>
      <c r="F392" s="1">
        <v>45443</v>
      </c>
      <c r="G392" s="1">
        <v>45466</v>
      </c>
      <c r="H392">
        <v>89346</v>
      </c>
      <c r="I392">
        <v>3278</v>
      </c>
      <c r="J392">
        <v>82</v>
      </c>
      <c r="K392">
        <v>6838.38</v>
      </c>
      <c r="L392">
        <v>20790.189999999999</v>
      </c>
      <c r="M392">
        <v>3.67</v>
      </c>
      <c r="N392">
        <v>2.5099999999999998</v>
      </c>
      <c r="O392">
        <v>2.09</v>
      </c>
      <c r="P392">
        <v>83.39</v>
      </c>
      <c r="Q392">
        <v>3.04</v>
      </c>
      <c r="R392">
        <v>204.02</v>
      </c>
    </row>
    <row r="393" spans="1:18" x14ac:dyDescent="0.3">
      <c r="A393" t="s">
        <v>814</v>
      </c>
      <c r="B393" t="s">
        <v>815</v>
      </c>
      <c r="C393" t="s">
        <v>25</v>
      </c>
      <c r="D393" t="s">
        <v>21</v>
      </c>
      <c r="E393" t="s">
        <v>26</v>
      </c>
      <c r="F393" s="1">
        <v>45452</v>
      </c>
      <c r="G393" s="1">
        <v>45486</v>
      </c>
      <c r="H393">
        <v>476339</v>
      </c>
      <c r="I393">
        <v>5239</v>
      </c>
      <c r="J393">
        <v>276</v>
      </c>
      <c r="K393">
        <v>8649.07</v>
      </c>
      <c r="L393">
        <v>48496.91</v>
      </c>
      <c r="M393">
        <v>1.1000000000000001</v>
      </c>
      <c r="N393">
        <v>5.28</v>
      </c>
      <c r="O393">
        <v>1.65</v>
      </c>
      <c r="P393">
        <v>31.34</v>
      </c>
      <c r="Q393">
        <v>5.61</v>
      </c>
      <c r="R393">
        <v>460.72</v>
      </c>
    </row>
    <row r="394" spans="1:18" x14ac:dyDescent="0.3">
      <c r="A394" t="s">
        <v>816</v>
      </c>
      <c r="B394" t="s">
        <v>817</v>
      </c>
      <c r="C394" t="s">
        <v>20</v>
      </c>
      <c r="D394" t="s">
        <v>21</v>
      </c>
      <c r="E394" t="s">
        <v>26</v>
      </c>
      <c r="F394" s="1">
        <v>45516</v>
      </c>
      <c r="G394" s="1">
        <v>45540</v>
      </c>
      <c r="H394">
        <v>55071</v>
      </c>
      <c r="I394">
        <v>3254</v>
      </c>
      <c r="J394">
        <v>259</v>
      </c>
      <c r="K394">
        <v>8410.25</v>
      </c>
      <c r="L394">
        <v>30351.53</v>
      </c>
      <c r="M394">
        <v>5.91</v>
      </c>
      <c r="N394">
        <v>7.98</v>
      </c>
      <c r="O394">
        <v>2.58</v>
      </c>
      <c r="P394">
        <v>32.47</v>
      </c>
      <c r="Q394">
        <v>3.61</v>
      </c>
      <c r="R394">
        <v>260.89</v>
      </c>
    </row>
    <row r="395" spans="1:18" x14ac:dyDescent="0.3">
      <c r="A395" t="s">
        <v>818</v>
      </c>
      <c r="B395" t="s">
        <v>819</v>
      </c>
      <c r="C395" t="s">
        <v>20</v>
      </c>
      <c r="D395" t="s">
        <v>57</v>
      </c>
      <c r="E395" t="s">
        <v>22</v>
      </c>
      <c r="F395" s="1">
        <v>45536</v>
      </c>
      <c r="G395" s="1">
        <v>45569</v>
      </c>
      <c r="H395">
        <v>145876</v>
      </c>
      <c r="I395">
        <v>4317</v>
      </c>
      <c r="J395">
        <v>276</v>
      </c>
      <c r="K395">
        <v>14130.77</v>
      </c>
      <c r="L395">
        <v>81402.95</v>
      </c>
      <c r="M395">
        <v>2.96</v>
      </c>
      <c r="N395">
        <v>6.4</v>
      </c>
      <c r="O395">
        <v>3.27</v>
      </c>
      <c r="P395">
        <v>51.2</v>
      </c>
      <c r="Q395">
        <v>5.76</v>
      </c>
      <c r="R395">
        <v>476.07</v>
      </c>
    </row>
    <row r="396" spans="1:18" x14ac:dyDescent="0.3">
      <c r="A396" t="s">
        <v>820</v>
      </c>
      <c r="B396" t="s">
        <v>821</v>
      </c>
      <c r="C396" t="s">
        <v>29</v>
      </c>
      <c r="D396" t="s">
        <v>21</v>
      </c>
      <c r="E396" t="s">
        <v>41</v>
      </c>
      <c r="F396" s="1">
        <v>45594</v>
      </c>
      <c r="G396" s="1">
        <v>45631</v>
      </c>
      <c r="H396">
        <v>414993</v>
      </c>
      <c r="I396">
        <v>15271</v>
      </c>
      <c r="J396">
        <v>1055</v>
      </c>
      <c r="K396">
        <v>15665.25</v>
      </c>
      <c r="L396">
        <v>38641.61</v>
      </c>
      <c r="M396">
        <v>3.68</v>
      </c>
      <c r="N396">
        <v>6.91</v>
      </c>
      <c r="O396">
        <v>1.03</v>
      </c>
      <c r="P396">
        <v>14.85</v>
      </c>
      <c r="Q396">
        <v>2.4700000000000002</v>
      </c>
      <c r="R396">
        <v>146.66999999999999</v>
      </c>
    </row>
    <row r="397" spans="1:18" x14ac:dyDescent="0.3">
      <c r="A397" t="s">
        <v>822</v>
      </c>
      <c r="B397" t="s">
        <v>823</v>
      </c>
      <c r="C397" t="s">
        <v>37</v>
      </c>
      <c r="D397" t="s">
        <v>30</v>
      </c>
      <c r="E397" t="s">
        <v>41</v>
      </c>
      <c r="F397" s="1">
        <v>45358</v>
      </c>
      <c r="G397" s="1">
        <v>45395</v>
      </c>
      <c r="H397">
        <v>370509</v>
      </c>
      <c r="I397">
        <v>23267</v>
      </c>
      <c r="J397">
        <v>2696</v>
      </c>
      <c r="K397">
        <v>629.66999999999996</v>
      </c>
      <c r="L397">
        <v>3198.78</v>
      </c>
      <c r="M397">
        <v>6.28</v>
      </c>
      <c r="N397">
        <v>11.59</v>
      </c>
      <c r="O397">
        <v>0.03</v>
      </c>
      <c r="P397">
        <v>0.23</v>
      </c>
      <c r="Q397">
        <v>5.08</v>
      </c>
      <c r="R397">
        <v>408.01</v>
      </c>
    </row>
    <row r="398" spans="1:18" x14ac:dyDescent="0.3">
      <c r="A398" t="s">
        <v>824</v>
      </c>
      <c r="B398" t="s">
        <v>825</v>
      </c>
      <c r="C398" t="s">
        <v>25</v>
      </c>
      <c r="D398" t="s">
        <v>21</v>
      </c>
      <c r="E398" t="s">
        <v>38</v>
      </c>
      <c r="F398" s="1">
        <v>45560</v>
      </c>
      <c r="G398" s="1">
        <v>45603</v>
      </c>
      <c r="H398">
        <v>281047</v>
      </c>
      <c r="I398">
        <v>2473</v>
      </c>
      <c r="J398">
        <v>168</v>
      </c>
      <c r="K398">
        <v>9027.81</v>
      </c>
      <c r="L398">
        <v>46678.8</v>
      </c>
      <c r="M398">
        <v>0.88</v>
      </c>
      <c r="N398">
        <v>6.83</v>
      </c>
      <c r="O398">
        <v>3.65</v>
      </c>
      <c r="P398">
        <v>53.74</v>
      </c>
      <c r="Q398">
        <v>5.17</v>
      </c>
      <c r="R398">
        <v>417.06</v>
      </c>
    </row>
    <row r="399" spans="1:18" x14ac:dyDescent="0.3">
      <c r="A399" t="s">
        <v>826</v>
      </c>
      <c r="B399" t="s">
        <v>827</v>
      </c>
      <c r="C399" t="s">
        <v>37</v>
      </c>
      <c r="D399" t="s">
        <v>34</v>
      </c>
      <c r="E399" t="s">
        <v>22</v>
      </c>
      <c r="F399" s="1">
        <v>45419</v>
      </c>
      <c r="G399" s="1">
        <v>45456</v>
      </c>
      <c r="H399">
        <v>322157</v>
      </c>
      <c r="I399">
        <v>23002</v>
      </c>
      <c r="J399">
        <v>3452</v>
      </c>
      <c r="K399">
        <v>928.59</v>
      </c>
      <c r="L399">
        <v>4622.25</v>
      </c>
      <c r="M399">
        <v>7.14</v>
      </c>
      <c r="N399">
        <v>15.01</v>
      </c>
      <c r="O399">
        <v>0.04</v>
      </c>
      <c r="P399">
        <v>0.27</v>
      </c>
      <c r="Q399">
        <v>4.9800000000000004</v>
      </c>
      <c r="R399">
        <v>397.77</v>
      </c>
    </row>
    <row r="400" spans="1:18" x14ac:dyDescent="0.3">
      <c r="A400" t="s">
        <v>828</v>
      </c>
      <c r="B400" t="s">
        <v>829</v>
      </c>
      <c r="C400" t="s">
        <v>44</v>
      </c>
      <c r="D400" t="s">
        <v>30</v>
      </c>
      <c r="E400" t="s">
        <v>41</v>
      </c>
      <c r="F400" s="1">
        <v>45372</v>
      </c>
      <c r="G400" s="1">
        <v>45411</v>
      </c>
      <c r="H400">
        <v>489894</v>
      </c>
      <c r="I400">
        <v>16411</v>
      </c>
      <c r="J400">
        <v>758</v>
      </c>
      <c r="K400">
        <v>10161.43</v>
      </c>
      <c r="L400">
        <v>20855.34</v>
      </c>
      <c r="M400">
        <v>3.35</v>
      </c>
      <c r="N400">
        <v>4.62</v>
      </c>
      <c r="O400">
        <v>0.62</v>
      </c>
      <c r="P400">
        <v>13.41</v>
      </c>
      <c r="Q400">
        <v>2.0499999999999998</v>
      </c>
      <c r="R400">
        <v>105.24</v>
      </c>
    </row>
    <row r="401" spans="1:18" x14ac:dyDescent="0.3">
      <c r="A401" t="s">
        <v>830</v>
      </c>
      <c r="B401" t="s">
        <v>831</v>
      </c>
      <c r="C401" t="s">
        <v>25</v>
      </c>
      <c r="D401" t="s">
        <v>30</v>
      </c>
      <c r="E401" t="s">
        <v>41</v>
      </c>
      <c r="F401" s="1">
        <v>45551</v>
      </c>
      <c r="G401" s="1">
        <v>45572</v>
      </c>
      <c r="H401">
        <v>89250</v>
      </c>
      <c r="I401">
        <v>1856</v>
      </c>
      <c r="J401">
        <v>134</v>
      </c>
      <c r="K401">
        <v>9294.32</v>
      </c>
      <c r="L401">
        <v>30222.41</v>
      </c>
      <c r="M401">
        <v>2.08</v>
      </c>
      <c r="N401">
        <v>7.24</v>
      </c>
      <c r="O401">
        <v>5.01</v>
      </c>
      <c r="P401">
        <v>69.36</v>
      </c>
      <c r="Q401">
        <v>3.25</v>
      </c>
      <c r="R401">
        <v>225.17</v>
      </c>
    </row>
    <row r="402" spans="1:18" x14ac:dyDescent="0.3">
      <c r="A402" t="s">
        <v>832</v>
      </c>
      <c r="B402" t="s">
        <v>833</v>
      </c>
      <c r="C402" t="s">
        <v>37</v>
      </c>
      <c r="D402" t="s">
        <v>30</v>
      </c>
      <c r="E402" t="s">
        <v>38</v>
      </c>
      <c r="F402" s="1">
        <v>45547</v>
      </c>
      <c r="G402" s="1">
        <v>45582</v>
      </c>
      <c r="H402">
        <v>478397</v>
      </c>
      <c r="I402">
        <v>25881</v>
      </c>
      <c r="J402">
        <v>3258</v>
      </c>
      <c r="K402">
        <v>4105.68</v>
      </c>
      <c r="L402">
        <v>16490.23</v>
      </c>
      <c r="M402">
        <v>5.41</v>
      </c>
      <c r="N402">
        <v>12.59</v>
      </c>
      <c r="O402">
        <v>0.16</v>
      </c>
      <c r="P402">
        <v>1.26</v>
      </c>
      <c r="Q402">
        <v>4.0199999999999996</v>
      </c>
      <c r="R402">
        <v>301.64</v>
      </c>
    </row>
    <row r="403" spans="1:18" x14ac:dyDescent="0.3">
      <c r="A403" t="s">
        <v>834</v>
      </c>
      <c r="B403" t="s">
        <v>835</v>
      </c>
      <c r="C403" t="s">
        <v>44</v>
      </c>
      <c r="D403" t="s">
        <v>21</v>
      </c>
      <c r="E403" t="s">
        <v>38</v>
      </c>
      <c r="F403" s="1">
        <v>45292</v>
      </c>
      <c r="G403" s="1">
        <v>45304</v>
      </c>
      <c r="H403">
        <v>440719</v>
      </c>
      <c r="I403">
        <v>12780</v>
      </c>
      <c r="J403">
        <v>237</v>
      </c>
      <c r="K403">
        <v>7654.23</v>
      </c>
      <c r="L403">
        <v>34498.300000000003</v>
      </c>
      <c r="M403">
        <v>2.9</v>
      </c>
      <c r="N403">
        <v>1.86</v>
      </c>
      <c r="O403">
        <v>0.6</v>
      </c>
      <c r="P403">
        <v>32.299999999999997</v>
      </c>
      <c r="Q403">
        <v>4.51</v>
      </c>
      <c r="R403">
        <v>350.71</v>
      </c>
    </row>
    <row r="404" spans="1:18" x14ac:dyDescent="0.3">
      <c r="A404" t="s">
        <v>836</v>
      </c>
      <c r="B404" t="s">
        <v>837</v>
      </c>
      <c r="C404" t="s">
        <v>37</v>
      </c>
      <c r="D404" t="s">
        <v>57</v>
      </c>
      <c r="E404" t="s">
        <v>31</v>
      </c>
      <c r="F404" s="1">
        <v>45319</v>
      </c>
      <c r="G404" s="1">
        <v>45340</v>
      </c>
      <c r="H404">
        <v>344824</v>
      </c>
      <c r="I404">
        <v>18068</v>
      </c>
      <c r="J404">
        <v>2657</v>
      </c>
      <c r="K404">
        <v>4776.6000000000004</v>
      </c>
      <c r="L404">
        <v>17363.14</v>
      </c>
      <c r="M404">
        <v>5.24</v>
      </c>
      <c r="N404">
        <v>14.71</v>
      </c>
      <c r="O404">
        <v>0.26</v>
      </c>
      <c r="P404">
        <v>1.8</v>
      </c>
      <c r="Q404">
        <v>3.64</v>
      </c>
      <c r="R404">
        <v>263.5</v>
      </c>
    </row>
    <row r="405" spans="1:18" x14ac:dyDescent="0.3">
      <c r="A405" t="s">
        <v>838</v>
      </c>
      <c r="B405" t="s">
        <v>839</v>
      </c>
      <c r="C405" t="s">
        <v>25</v>
      </c>
      <c r="D405" t="s">
        <v>57</v>
      </c>
      <c r="E405" t="s">
        <v>31</v>
      </c>
      <c r="F405" s="1">
        <v>45350</v>
      </c>
      <c r="G405" s="1">
        <v>45363</v>
      </c>
      <c r="H405">
        <v>452347</v>
      </c>
      <c r="I405">
        <v>8368</v>
      </c>
      <c r="J405">
        <v>695</v>
      </c>
      <c r="K405">
        <v>14514.68</v>
      </c>
      <c r="L405">
        <v>75790.009999999995</v>
      </c>
      <c r="M405">
        <v>1.85</v>
      </c>
      <c r="N405">
        <v>8.31</v>
      </c>
      <c r="O405">
        <v>1.73</v>
      </c>
      <c r="P405">
        <v>20.88</v>
      </c>
      <c r="Q405">
        <v>5.22</v>
      </c>
      <c r="R405">
        <v>422.16</v>
      </c>
    </row>
    <row r="406" spans="1:18" x14ac:dyDescent="0.3">
      <c r="A406" t="s">
        <v>840</v>
      </c>
      <c r="B406" t="s">
        <v>841</v>
      </c>
      <c r="C406" t="s">
        <v>29</v>
      </c>
      <c r="D406" t="s">
        <v>21</v>
      </c>
      <c r="E406" t="s">
        <v>22</v>
      </c>
      <c r="F406" s="1">
        <v>45346</v>
      </c>
      <c r="G406" s="1">
        <v>45355</v>
      </c>
      <c r="H406">
        <v>236195</v>
      </c>
      <c r="I406">
        <v>9424</v>
      </c>
      <c r="J406">
        <v>642</v>
      </c>
      <c r="K406">
        <v>7379.75</v>
      </c>
      <c r="L406">
        <v>32094.04</v>
      </c>
      <c r="M406">
        <v>3.99</v>
      </c>
      <c r="N406">
        <v>6.82</v>
      </c>
      <c r="O406">
        <v>0.78</v>
      </c>
      <c r="P406">
        <v>11.49</v>
      </c>
      <c r="Q406">
        <v>4.3499999999999996</v>
      </c>
      <c r="R406">
        <v>334.89</v>
      </c>
    </row>
    <row r="407" spans="1:18" x14ac:dyDescent="0.3">
      <c r="A407" t="s">
        <v>842</v>
      </c>
      <c r="B407" t="s">
        <v>843</v>
      </c>
      <c r="C407" t="s">
        <v>29</v>
      </c>
      <c r="D407" t="s">
        <v>30</v>
      </c>
      <c r="E407" t="s">
        <v>41</v>
      </c>
      <c r="F407" s="1">
        <v>45388</v>
      </c>
      <c r="G407" s="1">
        <v>45402</v>
      </c>
      <c r="H407">
        <v>480880</v>
      </c>
      <c r="I407">
        <v>17552</v>
      </c>
      <c r="J407">
        <v>984</v>
      </c>
      <c r="K407">
        <v>4604.42</v>
      </c>
      <c r="L407">
        <v>21865.62</v>
      </c>
      <c r="M407">
        <v>3.65</v>
      </c>
      <c r="N407">
        <v>5.61</v>
      </c>
      <c r="O407">
        <v>0.26</v>
      </c>
      <c r="P407">
        <v>4.68</v>
      </c>
      <c r="Q407">
        <v>4.75</v>
      </c>
      <c r="R407">
        <v>374.88</v>
      </c>
    </row>
    <row r="408" spans="1:18" x14ac:dyDescent="0.3">
      <c r="A408" t="s">
        <v>844</v>
      </c>
      <c r="B408" t="s">
        <v>845</v>
      </c>
      <c r="C408" t="s">
        <v>25</v>
      </c>
      <c r="D408" t="s">
        <v>34</v>
      </c>
      <c r="E408" t="s">
        <v>38</v>
      </c>
      <c r="F408" s="1">
        <v>45616</v>
      </c>
      <c r="G408" s="1">
        <v>45660</v>
      </c>
      <c r="H408">
        <v>482303</v>
      </c>
      <c r="I408">
        <v>10273</v>
      </c>
      <c r="J408">
        <v>1029</v>
      </c>
      <c r="K408">
        <v>5724.25</v>
      </c>
      <c r="L408">
        <v>22124.89</v>
      </c>
      <c r="M408">
        <v>2.13</v>
      </c>
      <c r="N408">
        <v>10.02</v>
      </c>
      <c r="O408">
        <v>0.56000000000000005</v>
      </c>
      <c r="P408">
        <v>5.56</v>
      </c>
      <c r="Q408">
        <v>3.87</v>
      </c>
      <c r="R408">
        <v>286.51</v>
      </c>
    </row>
    <row r="409" spans="1:18" x14ac:dyDescent="0.3">
      <c r="A409" t="s">
        <v>846</v>
      </c>
      <c r="B409" t="s">
        <v>847</v>
      </c>
      <c r="C409" t="s">
        <v>20</v>
      </c>
      <c r="D409" t="s">
        <v>30</v>
      </c>
      <c r="E409" t="s">
        <v>38</v>
      </c>
      <c r="F409" s="1">
        <v>45316</v>
      </c>
      <c r="G409" s="1">
        <v>45358</v>
      </c>
      <c r="H409">
        <v>395220</v>
      </c>
      <c r="I409">
        <v>19207</v>
      </c>
      <c r="J409">
        <v>1350</v>
      </c>
      <c r="K409">
        <v>24277.1</v>
      </c>
      <c r="L409">
        <v>49028.07</v>
      </c>
      <c r="M409">
        <v>4.8600000000000003</v>
      </c>
      <c r="N409">
        <v>7.03</v>
      </c>
      <c r="O409">
        <v>1.26</v>
      </c>
      <c r="P409">
        <v>17.98</v>
      </c>
      <c r="Q409">
        <v>2.02</v>
      </c>
      <c r="R409">
        <v>101.95</v>
      </c>
    </row>
    <row r="410" spans="1:18" x14ac:dyDescent="0.3">
      <c r="A410" t="s">
        <v>848</v>
      </c>
      <c r="B410" t="s">
        <v>849</v>
      </c>
      <c r="C410" t="s">
        <v>25</v>
      </c>
      <c r="D410" t="s">
        <v>30</v>
      </c>
      <c r="E410" t="s">
        <v>31</v>
      </c>
      <c r="F410" s="1">
        <v>45357</v>
      </c>
      <c r="G410" s="1">
        <v>45370</v>
      </c>
      <c r="H410">
        <v>459511</v>
      </c>
      <c r="I410">
        <v>10890</v>
      </c>
      <c r="J410">
        <v>679</v>
      </c>
      <c r="K410">
        <v>13256.87</v>
      </c>
      <c r="L410">
        <v>70092.070000000007</v>
      </c>
      <c r="M410">
        <v>2.37</v>
      </c>
      <c r="N410">
        <v>6.24</v>
      </c>
      <c r="O410">
        <v>1.22</v>
      </c>
      <c r="P410">
        <v>19.52</v>
      </c>
      <c r="Q410">
        <v>5.29</v>
      </c>
      <c r="R410">
        <v>428.72</v>
      </c>
    </row>
    <row r="411" spans="1:18" x14ac:dyDescent="0.3">
      <c r="A411" t="s">
        <v>850</v>
      </c>
      <c r="B411" t="s">
        <v>851</v>
      </c>
      <c r="C411" t="s">
        <v>25</v>
      </c>
      <c r="D411" t="s">
        <v>57</v>
      </c>
      <c r="E411" t="s">
        <v>31</v>
      </c>
      <c r="F411" s="1">
        <v>45495</v>
      </c>
      <c r="G411" s="1">
        <v>45523</v>
      </c>
      <c r="H411">
        <v>251674</v>
      </c>
      <c r="I411">
        <v>3800</v>
      </c>
      <c r="J411">
        <v>351</v>
      </c>
      <c r="K411">
        <v>15080.25</v>
      </c>
      <c r="L411">
        <v>47006.26</v>
      </c>
      <c r="M411">
        <v>1.51</v>
      </c>
      <c r="N411">
        <v>9.26</v>
      </c>
      <c r="O411">
        <v>3.97</v>
      </c>
      <c r="P411">
        <v>42.96</v>
      </c>
      <c r="Q411">
        <v>3.12</v>
      </c>
      <c r="R411">
        <v>211.71</v>
      </c>
    </row>
    <row r="412" spans="1:18" x14ac:dyDescent="0.3">
      <c r="A412" t="s">
        <v>852</v>
      </c>
      <c r="B412" t="s">
        <v>853</v>
      </c>
      <c r="C412" t="s">
        <v>44</v>
      </c>
      <c r="D412" t="s">
        <v>30</v>
      </c>
      <c r="E412" t="s">
        <v>41</v>
      </c>
      <c r="F412" s="1">
        <v>45572</v>
      </c>
      <c r="G412" s="1">
        <v>45599</v>
      </c>
      <c r="H412">
        <v>122446</v>
      </c>
      <c r="I412">
        <v>2779</v>
      </c>
      <c r="J412">
        <v>109</v>
      </c>
      <c r="K412">
        <v>11855.34</v>
      </c>
      <c r="L412">
        <v>39657.410000000003</v>
      </c>
      <c r="M412">
        <v>2.27</v>
      </c>
      <c r="N412">
        <v>3.95</v>
      </c>
      <c r="O412">
        <v>4.2699999999999996</v>
      </c>
      <c r="P412">
        <v>108.76</v>
      </c>
      <c r="Q412">
        <v>3.35</v>
      </c>
      <c r="R412">
        <v>234.51</v>
      </c>
    </row>
    <row r="413" spans="1:18" x14ac:dyDescent="0.3">
      <c r="A413" t="s">
        <v>854</v>
      </c>
      <c r="B413" t="s">
        <v>855</v>
      </c>
      <c r="C413" t="s">
        <v>37</v>
      </c>
      <c r="D413" t="s">
        <v>34</v>
      </c>
      <c r="E413" t="s">
        <v>41</v>
      </c>
      <c r="F413" s="1">
        <v>45383</v>
      </c>
      <c r="G413" s="1">
        <v>45422</v>
      </c>
      <c r="H413">
        <v>159949</v>
      </c>
      <c r="I413">
        <v>12396</v>
      </c>
      <c r="J413">
        <v>1352</v>
      </c>
      <c r="K413">
        <v>2053.8200000000002</v>
      </c>
      <c r="L413">
        <v>10321.85</v>
      </c>
      <c r="M413">
        <v>7.75</v>
      </c>
      <c r="N413">
        <v>10.91</v>
      </c>
      <c r="O413">
        <v>0.17</v>
      </c>
      <c r="P413">
        <v>1.52</v>
      </c>
      <c r="Q413">
        <v>5.03</v>
      </c>
      <c r="R413">
        <v>402.57</v>
      </c>
    </row>
    <row r="414" spans="1:18" x14ac:dyDescent="0.3">
      <c r="A414" t="s">
        <v>856</v>
      </c>
      <c r="B414" t="s">
        <v>857</v>
      </c>
      <c r="C414" t="s">
        <v>37</v>
      </c>
      <c r="D414" t="s">
        <v>57</v>
      </c>
      <c r="E414" t="s">
        <v>26</v>
      </c>
      <c r="F414" s="1">
        <v>45505</v>
      </c>
      <c r="G414" s="1">
        <v>45546</v>
      </c>
      <c r="H414">
        <v>448865</v>
      </c>
      <c r="I414">
        <v>27425</v>
      </c>
      <c r="J414">
        <v>3510</v>
      </c>
      <c r="K414">
        <v>3067.87</v>
      </c>
      <c r="L414">
        <v>15346.12</v>
      </c>
      <c r="M414">
        <v>6.11</v>
      </c>
      <c r="N414">
        <v>12.8</v>
      </c>
      <c r="O414">
        <v>0.11</v>
      </c>
      <c r="P414">
        <v>0.87</v>
      </c>
      <c r="Q414">
        <v>5</v>
      </c>
      <c r="R414">
        <v>400.22</v>
      </c>
    </row>
    <row r="415" spans="1:18" x14ac:dyDescent="0.3">
      <c r="A415" t="s">
        <v>858</v>
      </c>
      <c r="B415" t="s">
        <v>859</v>
      </c>
      <c r="C415" t="s">
        <v>44</v>
      </c>
      <c r="D415" t="s">
        <v>30</v>
      </c>
      <c r="E415" t="s">
        <v>26</v>
      </c>
      <c r="F415" s="1">
        <v>45428</v>
      </c>
      <c r="G415" s="1">
        <v>45445</v>
      </c>
      <c r="H415">
        <v>324061</v>
      </c>
      <c r="I415">
        <v>4796</v>
      </c>
      <c r="J415">
        <v>135</v>
      </c>
      <c r="K415">
        <v>3163.31</v>
      </c>
      <c r="L415">
        <v>7132.38</v>
      </c>
      <c r="M415">
        <v>1.48</v>
      </c>
      <c r="N415">
        <v>2.83</v>
      </c>
      <c r="O415">
        <v>0.66</v>
      </c>
      <c r="P415">
        <v>23.43</v>
      </c>
      <c r="Q415">
        <v>2.25</v>
      </c>
      <c r="R415">
        <v>125.47</v>
      </c>
    </row>
    <row r="416" spans="1:18" x14ac:dyDescent="0.3">
      <c r="A416" t="s">
        <v>860</v>
      </c>
      <c r="B416" t="s">
        <v>861</v>
      </c>
      <c r="C416" t="s">
        <v>44</v>
      </c>
      <c r="D416" t="s">
        <v>57</v>
      </c>
      <c r="E416" t="s">
        <v>41</v>
      </c>
      <c r="F416" s="1">
        <v>45475</v>
      </c>
      <c r="G416" s="1">
        <v>45510</v>
      </c>
      <c r="H416">
        <v>490077</v>
      </c>
      <c r="I416">
        <v>6665</v>
      </c>
      <c r="J416">
        <v>283</v>
      </c>
      <c r="K416">
        <v>5050.01</v>
      </c>
      <c r="L416">
        <v>22398.18</v>
      </c>
      <c r="M416">
        <v>1.36</v>
      </c>
      <c r="N416">
        <v>4.25</v>
      </c>
      <c r="O416">
        <v>0.76</v>
      </c>
      <c r="P416">
        <v>17.84</v>
      </c>
      <c r="Q416">
        <v>4.4400000000000004</v>
      </c>
      <c r="R416">
        <v>343.53</v>
      </c>
    </row>
    <row r="417" spans="1:18" x14ac:dyDescent="0.3">
      <c r="A417" t="s">
        <v>862</v>
      </c>
      <c r="B417" t="s">
        <v>863</v>
      </c>
      <c r="C417" t="s">
        <v>20</v>
      </c>
      <c r="D417" t="s">
        <v>34</v>
      </c>
      <c r="E417" t="s">
        <v>31</v>
      </c>
      <c r="F417" s="1">
        <v>45316</v>
      </c>
      <c r="G417" s="1">
        <v>45347</v>
      </c>
      <c r="H417">
        <v>253888</v>
      </c>
      <c r="I417">
        <v>8759</v>
      </c>
      <c r="J417">
        <v>762</v>
      </c>
      <c r="K417">
        <v>20976.44</v>
      </c>
      <c r="L417">
        <v>69104.240000000005</v>
      </c>
      <c r="M417">
        <v>3.45</v>
      </c>
      <c r="N417">
        <v>8.7100000000000009</v>
      </c>
      <c r="O417">
        <v>2.39</v>
      </c>
      <c r="P417">
        <v>27.53</v>
      </c>
      <c r="Q417">
        <v>3.29</v>
      </c>
      <c r="R417">
        <v>229.44</v>
      </c>
    </row>
    <row r="418" spans="1:18" x14ac:dyDescent="0.3">
      <c r="A418" t="s">
        <v>864</v>
      </c>
      <c r="B418" t="s">
        <v>865</v>
      </c>
      <c r="C418" t="s">
        <v>25</v>
      </c>
      <c r="D418" t="s">
        <v>30</v>
      </c>
      <c r="E418" t="s">
        <v>22</v>
      </c>
      <c r="F418" s="1">
        <v>45518</v>
      </c>
      <c r="G418" s="1">
        <v>45539</v>
      </c>
      <c r="H418">
        <v>339472</v>
      </c>
      <c r="I418">
        <v>3021</v>
      </c>
      <c r="J418">
        <v>308</v>
      </c>
      <c r="K418">
        <v>7249.4</v>
      </c>
      <c r="L418">
        <v>42842.68</v>
      </c>
      <c r="M418">
        <v>0.89</v>
      </c>
      <c r="N418">
        <v>10.210000000000001</v>
      </c>
      <c r="O418">
        <v>2.4</v>
      </c>
      <c r="P418">
        <v>23.54</v>
      </c>
      <c r="Q418">
        <v>5.91</v>
      </c>
      <c r="R418">
        <v>490.98</v>
      </c>
    </row>
    <row r="419" spans="1:18" x14ac:dyDescent="0.3">
      <c r="A419" t="s">
        <v>866</v>
      </c>
      <c r="B419" t="s">
        <v>867</v>
      </c>
      <c r="C419" t="s">
        <v>44</v>
      </c>
      <c r="D419" t="s">
        <v>34</v>
      </c>
      <c r="E419" t="s">
        <v>41</v>
      </c>
      <c r="F419" s="1">
        <v>45555</v>
      </c>
      <c r="G419" s="1">
        <v>45569</v>
      </c>
      <c r="H419">
        <v>204233</v>
      </c>
      <c r="I419">
        <v>4840</v>
      </c>
      <c r="J419">
        <v>239</v>
      </c>
      <c r="K419">
        <v>3430.86</v>
      </c>
      <c r="L419">
        <v>21721.25</v>
      </c>
      <c r="M419">
        <v>2.37</v>
      </c>
      <c r="N419">
        <v>4.9400000000000004</v>
      </c>
      <c r="O419">
        <v>0.71</v>
      </c>
      <c r="P419">
        <v>14.36</v>
      </c>
      <c r="Q419">
        <v>6.33</v>
      </c>
      <c r="R419">
        <v>533.11</v>
      </c>
    </row>
    <row r="420" spans="1:18" x14ac:dyDescent="0.3">
      <c r="A420" t="s">
        <v>868</v>
      </c>
      <c r="B420" t="s">
        <v>869</v>
      </c>
      <c r="C420" t="s">
        <v>25</v>
      </c>
      <c r="D420" t="s">
        <v>21</v>
      </c>
      <c r="E420" t="s">
        <v>38</v>
      </c>
      <c r="F420" s="1">
        <v>45461</v>
      </c>
      <c r="G420" s="1">
        <v>45497</v>
      </c>
      <c r="H420">
        <v>196335</v>
      </c>
      <c r="I420">
        <v>3435</v>
      </c>
      <c r="J420">
        <v>203</v>
      </c>
      <c r="K420">
        <v>13343.78</v>
      </c>
      <c r="L420">
        <v>42000.52</v>
      </c>
      <c r="M420">
        <v>1.75</v>
      </c>
      <c r="N420">
        <v>5.91</v>
      </c>
      <c r="O420">
        <v>3.88</v>
      </c>
      <c r="P420">
        <v>65.73</v>
      </c>
      <c r="Q420">
        <v>3.15</v>
      </c>
      <c r="R420">
        <v>214.76</v>
      </c>
    </row>
    <row r="421" spans="1:18" x14ac:dyDescent="0.3">
      <c r="A421" t="s">
        <v>870</v>
      </c>
      <c r="B421" t="s">
        <v>871</v>
      </c>
      <c r="C421" t="s">
        <v>29</v>
      </c>
      <c r="D421" t="s">
        <v>21</v>
      </c>
      <c r="E421" t="s">
        <v>41</v>
      </c>
      <c r="F421" s="1">
        <v>45446</v>
      </c>
      <c r="G421" s="1">
        <v>45484</v>
      </c>
      <c r="H421">
        <v>219151</v>
      </c>
      <c r="I421">
        <v>7210</v>
      </c>
      <c r="J421">
        <v>423</v>
      </c>
      <c r="K421">
        <v>12380.5</v>
      </c>
      <c r="L421">
        <v>71734.23</v>
      </c>
      <c r="M421">
        <v>3.29</v>
      </c>
      <c r="N421">
        <v>5.87</v>
      </c>
      <c r="O421">
        <v>1.72</v>
      </c>
      <c r="P421">
        <v>29.27</v>
      </c>
      <c r="Q421">
        <v>5.79</v>
      </c>
      <c r="R421">
        <v>479.41</v>
      </c>
    </row>
    <row r="422" spans="1:18" x14ac:dyDescent="0.3">
      <c r="A422" t="s">
        <v>872</v>
      </c>
      <c r="B422" t="s">
        <v>873</v>
      </c>
      <c r="C422" t="s">
        <v>37</v>
      </c>
      <c r="D422" t="s">
        <v>57</v>
      </c>
      <c r="E422" t="s">
        <v>26</v>
      </c>
      <c r="F422" s="1">
        <v>45550</v>
      </c>
      <c r="G422" s="1">
        <v>45567</v>
      </c>
      <c r="H422">
        <v>461058</v>
      </c>
      <c r="I422">
        <v>38037</v>
      </c>
      <c r="J422">
        <v>5039</v>
      </c>
      <c r="K422">
        <v>4806.4399999999996</v>
      </c>
      <c r="L422">
        <v>20873.060000000001</v>
      </c>
      <c r="M422">
        <v>8.25</v>
      </c>
      <c r="N422">
        <v>13.25</v>
      </c>
      <c r="O422">
        <v>0.13</v>
      </c>
      <c r="P422">
        <v>0.95</v>
      </c>
      <c r="Q422">
        <v>4.34</v>
      </c>
      <c r="R422">
        <v>334.27</v>
      </c>
    </row>
    <row r="423" spans="1:18" x14ac:dyDescent="0.3">
      <c r="A423" t="s">
        <v>874</v>
      </c>
      <c r="B423" t="s">
        <v>875</v>
      </c>
      <c r="C423" t="s">
        <v>25</v>
      </c>
      <c r="D423" t="s">
        <v>30</v>
      </c>
      <c r="E423" t="s">
        <v>26</v>
      </c>
      <c r="F423" s="1">
        <v>45403</v>
      </c>
      <c r="G423" s="1">
        <v>45443</v>
      </c>
      <c r="H423">
        <v>233187</v>
      </c>
      <c r="I423">
        <v>2751</v>
      </c>
      <c r="J423">
        <v>178</v>
      </c>
      <c r="K423">
        <v>9310.14</v>
      </c>
      <c r="L423">
        <v>33736.129999999997</v>
      </c>
      <c r="M423">
        <v>1.18</v>
      </c>
      <c r="N423">
        <v>6.49</v>
      </c>
      <c r="O423">
        <v>3.38</v>
      </c>
      <c r="P423">
        <v>52.3</v>
      </c>
      <c r="Q423">
        <v>3.62</v>
      </c>
      <c r="R423">
        <v>262.36</v>
      </c>
    </row>
    <row r="424" spans="1:18" x14ac:dyDescent="0.3">
      <c r="A424" t="s">
        <v>876</v>
      </c>
      <c r="B424" t="s">
        <v>877</v>
      </c>
      <c r="C424" t="s">
        <v>25</v>
      </c>
      <c r="D424" t="s">
        <v>21</v>
      </c>
      <c r="E424" t="s">
        <v>26</v>
      </c>
      <c r="F424" s="1">
        <v>45416</v>
      </c>
      <c r="G424" s="1">
        <v>45425</v>
      </c>
      <c r="H424">
        <v>400716</v>
      </c>
      <c r="I424">
        <v>5569</v>
      </c>
      <c r="J424">
        <v>372</v>
      </c>
      <c r="K424">
        <v>14276.23</v>
      </c>
      <c r="L424">
        <v>87566.58</v>
      </c>
      <c r="M424">
        <v>1.39</v>
      </c>
      <c r="N424">
        <v>6.68</v>
      </c>
      <c r="O424">
        <v>2.56</v>
      </c>
      <c r="P424">
        <v>38.380000000000003</v>
      </c>
      <c r="Q424">
        <v>6.13</v>
      </c>
      <c r="R424">
        <v>513.37</v>
      </c>
    </row>
    <row r="425" spans="1:18" x14ac:dyDescent="0.3">
      <c r="A425" t="s">
        <v>878</v>
      </c>
      <c r="B425" t="s">
        <v>879</v>
      </c>
      <c r="C425" t="s">
        <v>44</v>
      </c>
      <c r="D425" t="s">
        <v>30</v>
      </c>
      <c r="E425" t="s">
        <v>26</v>
      </c>
      <c r="F425" s="1">
        <v>45483</v>
      </c>
      <c r="G425" s="1">
        <v>45522</v>
      </c>
      <c r="H425">
        <v>252310</v>
      </c>
      <c r="I425">
        <v>4718</v>
      </c>
      <c r="J425">
        <v>190</v>
      </c>
      <c r="K425">
        <v>2808.82</v>
      </c>
      <c r="L425">
        <v>12150.69</v>
      </c>
      <c r="M425">
        <v>1.87</v>
      </c>
      <c r="N425">
        <v>4.03</v>
      </c>
      <c r="O425">
        <v>0.6</v>
      </c>
      <c r="P425">
        <v>14.78</v>
      </c>
      <c r="Q425">
        <v>4.33</v>
      </c>
      <c r="R425">
        <v>332.59</v>
      </c>
    </row>
    <row r="426" spans="1:18" x14ac:dyDescent="0.3">
      <c r="A426" t="s">
        <v>880</v>
      </c>
      <c r="B426" t="s">
        <v>881</v>
      </c>
      <c r="C426" t="s">
        <v>37</v>
      </c>
      <c r="D426" t="s">
        <v>30</v>
      </c>
      <c r="E426" t="s">
        <v>38</v>
      </c>
      <c r="F426" s="1">
        <v>45341</v>
      </c>
      <c r="G426" s="1">
        <v>45358</v>
      </c>
      <c r="H426">
        <v>72990</v>
      </c>
      <c r="I426">
        <v>4218</v>
      </c>
      <c r="J426">
        <v>612</v>
      </c>
      <c r="K426">
        <v>1941.41</v>
      </c>
      <c r="L426">
        <v>4602.22</v>
      </c>
      <c r="M426">
        <v>5.78</v>
      </c>
      <c r="N426">
        <v>14.52</v>
      </c>
      <c r="O426">
        <v>0.46</v>
      </c>
      <c r="P426">
        <v>3.17</v>
      </c>
      <c r="Q426">
        <v>2.37</v>
      </c>
      <c r="R426">
        <v>137.06</v>
      </c>
    </row>
    <row r="427" spans="1:18" x14ac:dyDescent="0.3">
      <c r="A427" t="s">
        <v>882</v>
      </c>
      <c r="B427" t="s">
        <v>883</v>
      </c>
      <c r="C427" t="s">
        <v>37</v>
      </c>
      <c r="D427" t="s">
        <v>21</v>
      </c>
      <c r="E427" t="s">
        <v>26</v>
      </c>
      <c r="F427" s="1">
        <v>45345</v>
      </c>
      <c r="G427" s="1">
        <v>45365</v>
      </c>
      <c r="H427">
        <v>160510</v>
      </c>
      <c r="I427">
        <v>12872</v>
      </c>
      <c r="J427">
        <v>2026</v>
      </c>
      <c r="K427">
        <v>4392.28</v>
      </c>
      <c r="L427">
        <v>17169.169999999998</v>
      </c>
      <c r="M427">
        <v>8.02</v>
      </c>
      <c r="N427">
        <v>15.74</v>
      </c>
      <c r="O427">
        <v>0.34</v>
      </c>
      <c r="P427">
        <v>2.17</v>
      </c>
      <c r="Q427">
        <v>3.91</v>
      </c>
      <c r="R427">
        <v>290.89</v>
      </c>
    </row>
    <row r="428" spans="1:18" x14ac:dyDescent="0.3">
      <c r="A428" t="s">
        <v>884</v>
      </c>
      <c r="B428" t="s">
        <v>885</v>
      </c>
      <c r="C428" t="s">
        <v>37</v>
      </c>
      <c r="D428" t="s">
        <v>30</v>
      </c>
      <c r="E428" t="s">
        <v>26</v>
      </c>
      <c r="F428" s="1">
        <v>45329</v>
      </c>
      <c r="G428" s="1">
        <v>45339</v>
      </c>
      <c r="H428">
        <v>441585</v>
      </c>
      <c r="I428">
        <v>35856</v>
      </c>
      <c r="J428">
        <v>2954</v>
      </c>
      <c r="K428">
        <v>3725.91</v>
      </c>
      <c r="L428">
        <v>8087.04</v>
      </c>
      <c r="M428">
        <v>8.1199999999999992</v>
      </c>
      <c r="N428">
        <v>8.24</v>
      </c>
      <c r="O428">
        <v>0.1</v>
      </c>
      <c r="P428">
        <v>1.26</v>
      </c>
      <c r="Q428">
        <v>2.17</v>
      </c>
      <c r="R428">
        <v>117.05</v>
      </c>
    </row>
    <row r="429" spans="1:18" x14ac:dyDescent="0.3">
      <c r="A429" t="s">
        <v>886</v>
      </c>
      <c r="B429" t="s">
        <v>887</v>
      </c>
      <c r="C429" t="s">
        <v>29</v>
      </c>
      <c r="D429" t="s">
        <v>57</v>
      </c>
      <c r="E429" t="s">
        <v>31</v>
      </c>
      <c r="F429" s="1">
        <v>45614</v>
      </c>
      <c r="G429" s="1">
        <v>45646</v>
      </c>
      <c r="H429">
        <v>86931</v>
      </c>
      <c r="I429">
        <v>2799</v>
      </c>
      <c r="J429">
        <v>87</v>
      </c>
      <c r="K429">
        <v>6879.72</v>
      </c>
      <c r="L429">
        <v>25772.44</v>
      </c>
      <c r="M429">
        <v>3.22</v>
      </c>
      <c r="N429">
        <v>3.14</v>
      </c>
      <c r="O429">
        <v>2.46</v>
      </c>
      <c r="P429">
        <v>79.08</v>
      </c>
      <c r="Q429">
        <v>3.75</v>
      </c>
      <c r="R429">
        <v>274.61</v>
      </c>
    </row>
    <row r="430" spans="1:18" x14ac:dyDescent="0.3">
      <c r="A430" t="s">
        <v>888</v>
      </c>
      <c r="B430" t="s">
        <v>889</v>
      </c>
      <c r="C430" t="s">
        <v>25</v>
      </c>
      <c r="D430" t="s">
        <v>57</v>
      </c>
      <c r="E430" t="s">
        <v>26</v>
      </c>
      <c r="F430" s="1">
        <v>45591</v>
      </c>
      <c r="G430" s="1">
        <v>45600</v>
      </c>
      <c r="H430">
        <v>254211</v>
      </c>
      <c r="I430">
        <v>4931</v>
      </c>
      <c r="J430">
        <v>430</v>
      </c>
      <c r="K430">
        <v>14262.76</v>
      </c>
      <c r="L430">
        <v>68212.679999999993</v>
      </c>
      <c r="M430">
        <v>1.94</v>
      </c>
      <c r="N430">
        <v>8.74</v>
      </c>
      <c r="O430">
        <v>2.89</v>
      </c>
      <c r="P430">
        <v>33.17</v>
      </c>
      <c r="Q430">
        <v>4.78</v>
      </c>
      <c r="R430">
        <v>378.26</v>
      </c>
    </row>
    <row r="431" spans="1:18" x14ac:dyDescent="0.3">
      <c r="A431" t="s">
        <v>890</v>
      </c>
      <c r="B431" t="s">
        <v>891</v>
      </c>
      <c r="C431" t="s">
        <v>20</v>
      </c>
      <c r="D431" t="s">
        <v>57</v>
      </c>
      <c r="E431" t="s">
        <v>31</v>
      </c>
      <c r="F431" s="1">
        <v>45516</v>
      </c>
      <c r="G431" s="1">
        <v>45547</v>
      </c>
      <c r="H431">
        <v>105645</v>
      </c>
      <c r="I431">
        <v>3866</v>
      </c>
      <c r="J431">
        <v>313</v>
      </c>
      <c r="K431">
        <v>17131.32</v>
      </c>
      <c r="L431">
        <v>55965.08</v>
      </c>
      <c r="M431">
        <v>3.66</v>
      </c>
      <c r="N431">
        <v>8.1199999999999992</v>
      </c>
      <c r="O431">
        <v>4.43</v>
      </c>
      <c r="P431">
        <v>54.73</v>
      </c>
      <c r="Q431">
        <v>3.27</v>
      </c>
      <c r="R431">
        <v>226.68</v>
      </c>
    </row>
    <row r="432" spans="1:18" x14ac:dyDescent="0.3">
      <c r="A432" t="s">
        <v>892</v>
      </c>
      <c r="B432" t="s">
        <v>893</v>
      </c>
      <c r="C432" t="s">
        <v>25</v>
      </c>
      <c r="D432" t="s">
        <v>21</v>
      </c>
      <c r="E432" t="s">
        <v>38</v>
      </c>
      <c r="F432" s="1">
        <v>45571</v>
      </c>
      <c r="G432" s="1">
        <v>45596</v>
      </c>
      <c r="H432">
        <v>131958</v>
      </c>
      <c r="I432">
        <v>2256</v>
      </c>
      <c r="J432">
        <v>134</v>
      </c>
      <c r="K432">
        <v>10255.879999999999</v>
      </c>
      <c r="L432">
        <v>57316.84</v>
      </c>
      <c r="M432">
        <v>1.71</v>
      </c>
      <c r="N432">
        <v>5.95</v>
      </c>
      <c r="O432">
        <v>4.55</v>
      </c>
      <c r="P432">
        <v>76.540000000000006</v>
      </c>
      <c r="Q432">
        <v>5.59</v>
      </c>
      <c r="R432">
        <v>458.87</v>
      </c>
    </row>
    <row r="433" spans="1:18" x14ac:dyDescent="0.3">
      <c r="A433" t="s">
        <v>894</v>
      </c>
      <c r="B433" t="s">
        <v>895</v>
      </c>
      <c r="C433" t="s">
        <v>29</v>
      </c>
      <c r="D433" t="s">
        <v>57</v>
      </c>
      <c r="E433" t="s">
        <v>22</v>
      </c>
      <c r="F433" s="1">
        <v>45597</v>
      </c>
      <c r="G433" s="1">
        <v>45629</v>
      </c>
      <c r="H433">
        <v>55845</v>
      </c>
      <c r="I433">
        <v>1764</v>
      </c>
      <c r="J433">
        <v>84</v>
      </c>
      <c r="K433">
        <v>4848.53</v>
      </c>
      <c r="L433">
        <v>9806.7999999999993</v>
      </c>
      <c r="M433">
        <v>3.16</v>
      </c>
      <c r="N433">
        <v>4.78</v>
      </c>
      <c r="O433">
        <v>2.75</v>
      </c>
      <c r="P433">
        <v>57.72</v>
      </c>
      <c r="Q433">
        <v>2.02</v>
      </c>
      <c r="R433">
        <v>102.26</v>
      </c>
    </row>
    <row r="434" spans="1:18" x14ac:dyDescent="0.3">
      <c r="A434" t="s">
        <v>896</v>
      </c>
      <c r="B434" t="s">
        <v>897</v>
      </c>
      <c r="C434" t="s">
        <v>37</v>
      </c>
      <c r="D434" t="s">
        <v>21</v>
      </c>
      <c r="E434" t="s">
        <v>22</v>
      </c>
      <c r="F434" s="1">
        <v>45622</v>
      </c>
      <c r="G434" s="1">
        <v>45661</v>
      </c>
      <c r="H434">
        <v>160128</v>
      </c>
      <c r="I434">
        <v>13594</v>
      </c>
      <c r="J434">
        <v>2316</v>
      </c>
      <c r="K434">
        <v>2047.33</v>
      </c>
      <c r="L434">
        <v>7896.44</v>
      </c>
      <c r="M434">
        <v>8.49</v>
      </c>
      <c r="N434">
        <v>17.04</v>
      </c>
      <c r="O434">
        <v>0.15</v>
      </c>
      <c r="P434">
        <v>0.88</v>
      </c>
      <c r="Q434">
        <v>3.86</v>
      </c>
      <c r="R434">
        <v>285.69</v>
      </c>
    </row>
    <row r="435" spans="1:18" x14ac:dyDescent="0.3">
      <c r="A435" t="s">
        <v>898</v>
      </c>
      <c r="B435" t="s">
        <v>899</v>
      </c>
      <c r="C435" t="s">
        <v>29</v>
      </c>
      <c r="D435" t="s">
        <v>34</v>
      </c>
      <c r="E435" t="s">
        <v>41</v>
      </c>
      <c r="F435" s="1">
        <v>45582</v>
      </c>
      <c r="G435" s="1">
        <v>45592</v>
      </c>
      <c r="H435">
        <v>165756</v>
      </c>
      <c r="I435">
        <v>5552</v>
      </c>
      <c r="J435">
        <v>180</v>
      </c>
      <c r="K435">
        <v>4719.34</v>
      </c>
      <c r="L435">
        <v>23688.26</v>
      </c>
      <c r="M435">
        <v>3.35</v>
      </c>
      <c r="N435">
        <v>3.26</v>
      </c>
      <c r="O435">
        <v>0.85</v>
      </c>
      <c r="P435">
        <v>26.22</v>
      </c>
      <c r="Q435">
        <v>5.0199999999999996</v>
      </c>
      <c r="R435">
        <v>401.94</v>
      </c>
    </row>
    <row r="436" spans="1:18" x14ac:dyDescent="0.3">
      <c r="A436" t="s">
        <v>900</v>
      </c>
      <c r="B436" t="s">
        <v>901</v>
      </c>
      <c r="C436" t="s">
        <v>37</v>
      </c>
      <c r="D436" t="s">
        <v>30</v>
      </c>
      <c r="E436" t="s">
        <v>31</v>
      </c>
      <c r="F436" s="1">
        <v>45541</v>
      </c>
      <c r="G436" s="1">
        <v>45569</v>
      </c>
      <c r="H436">
        <v>88348</v>
      </c>
      <c r="I436">
        <v>5071</v>
      </c>
      <c r="J436">
        <v>439</v>
      </c>
      <c r="K436">
        <v>941.91</v>
      </c>
      <c r="L436">
        <v>4959.3</v>
      </c>
      <c r="M436">
        <v>5.74</v>
      </c>
      <c r="N436">
        <v>8.67</v>
      </c>
      <c r="O436">
        <v>0.19</v>
      </c>
      <c r="P436">
        <v>2.15</v>
      </c>
      <c r="Q436">
        <v>5.27</v>
      </c>
      <c r="R436">
        <v>426.52</v>
      </c>
    </row>
    <row r="437" spans="1:18" x14ac:dyDescent="0.3">
      <c r="A437" t="s">
        <v>902</v>
      </c>
      <c r="B437" t="s">
        <v>903</v>
      </c>
      <c r="C437" t="s">
        <v>44</v>
      </c>
      <c r="D437" t="s">
        <v>34</v>
      </c>
      <c r="E437" t="s">
        <v>41</v>
      </c>
      <c r="F437" s="1">
        <v>45460</v>
      </c>
      <c r="G437" s="1">
        <v>45486</v>
      </c>
      <c r="H437">
        <v>102452</v>
      </c>
      <c r="I437">
        <v>1987</v>
      </c>
      <c r="J437">
        <v>34</v>
      </c>
      <c r="K437">
        <v>4918.7299999999996</v>
      </c>
      <c r="L437">
        <v>20591.650000000001</v>
      </c>
      <c r="M437">
        <v>1.94</v>
      </c>
      <c r="N437">
        <v>1.74</v>
      </c>
      <c r="O437">
        <v>2.48</v>
      </c>
      <c r="P437">
        <v>144.66999999999999</v>
      </c>
      <c r="Q437">
        <v>4.1900000000000004</v>
      </c>
      <c r="R437">
        <v>318.64</v>
      </c>
    </row>
    <row r="438" spans="1:18" x14ac:dyDescent="0.3">
      <c r="A438" t="s">
        <v>904</v>
      </c>
      <c r="B438" t="s">
        <v>905</v>
      </c>
      <c r="C438" t="s">
        <v>37</v>
      </c>
      <c r="D438" t="s">
        <v>34</v>
      </c>
      <c r="E438" t="s">
        <v>31</v>
      </c>
      <c r="F438" s="1">
        <v>45418</v>
      </c>
      <c r="G438" s="1">
        <v>45439</v>
      </c>
      <c r="H438">
        <v>347198</v>
      </c>
      <c r="I438">
        <v>21491</v>
      </c>
      <c r="J438">
        <v>2398</v>
      </c>
      <c r="K438">
        <v>2427.38</v>
      </c>
      <c r="L438">
        <v>4907.54</v>
      </c>
      <c r="M438">
        <v>6.19</v>
      </c>
      <c r="N438">
        <v>11.16</v>
      </c>
      <c r="O438">
        <v>0.11</v>
      </c>
      <c r="P438">
        <v>1.01</v>
      </c>
      <c r="Q438">
        <v>2.02</v>
      </c>
      <c r="R438">
        <v>102.17</v>
      </c>
    </row>
    <row r="439" spans="1:18" x14ac:dyDescent="0.3">
      <c r="A439" t="s">
        <v>906</v>
      </c>
      <c r="B439" t="s">
        <v>907</v>
      </c>
      <c r="C439" t="s">
        <v>25</v>
      </c>
      <c r="D439" t="s">
        <v>57</v>
      </c>
      <c r="E439" t="s">
        <v>22</v>
      </c>
      <c r="F439" s="1">
        <v>45448</v>
      </c>
      <c r="G439" s="1">
        <v>45486</v>
      </c>
      <c r="H439">
        <v>120414</v>
      </c>
      <c r="I439">
        <v>2360</v>
      </c>
      <c r="J439">
        <v>172</v>
      </c>
      <c r="K439">
        <v>11679.26</v>
      </c>
      <c r="L439">
        <v>46765.05</v>
      </c>
      <c r="M439">
        <v>1.96</v>
      </c>
      <c r="N439">
        <v>7.32</v>
      </c>
      <c r="O439">
        <v>4.95</v>
      </c>
      <c r="P439">
        <v>67.900000000000006</v>
      </c>
      <c r="Q439">
        <v>4</v>
      </c>
      <c r="R439">
        <v>300.41000000000003</v>
      </c>
    </row>
    <row r="440" spans="1:18" x14ac:dyDescent="0.3">
      <c r="A440" t="s">
        <v>908</v>
      </c>
      <c r="B440" t="s">
        <v>909</v>
      </c>
      <c r="C440" t="s">
        <v>37</v>
      </c>
      <c r="D440" t="s">
        <v>21</v>
      </c>
      <c r="E440" t="s">
        <v>41</v>
      </c>
      <c r="F440" s="1">
        <v>45567</v>
      </c>
      <c r="G440" s="1">
        <v>45586</v>
      </c>
      <c r="H440">
        <v>388454</v>
      </c>
      <c r="I440">
        <v>29677</v>
      </c>
      <c r="J440">
        <v>4872</v>
      </c>
      <c r="K440">
        <v>4364.21</v>
      </c>
      <c r="L440">
        <v>11477.91</v>
      </c>
      <c r="M440">
        <v>7.64</v>
      </c>
      <c r="N440">
        <v>16.420000000000002</v>
      </c>
      <c r="O440">
        <v>0.15</v>
      </c>
      <c r="P440">
        <v>0.9</v>
      </c>
      <c r="Q440">
        <v>2.63</v>
      </c>
      <c r="R440">
        <v>163</v>
      </c>
    </row>
    <row r="441" spans="1:18" x14ac:dyDescent="0.3">
      <c r="A441" t="s">
        <v>910</v>
      </c>
      <c r="B441" t="s">
        <v>911</v>
      </c>
      <c r="C441" t="s">
        <v>44</v>
      </c>
      <c r="D441" t="s">
        <v>21</v>
      </c>
      <c r="E441" t="s">
        <v>26</v>
      </c>
      <c r="F441" s="1">
        <v>45594</v>
      </c>
      <c r="G441" s="1">
        <v>45614</v>
      </c>
      <c r="H441">
        <v>59767</v>
      </c>
      <c r="I441">
        <v>2038</v>
      </c>
      <c r="J441">
        <v>75</v>
      </c>
      <c r="K441">
        <v>12658.03</v>
      </c>
      <c r="L441">
        <v>58290.91</v>
      </c>
      <c r="M441">
        <v>3.41</v>
      </c>
      <c r="N441">
        <v>3.71</v>
      </c>
      <c r="O441">
        <v>6.21</v>
      </c>
      <c r="P441">
        <v>168.77</v>
      </c>
      <c r="Q441">
        <v>4.6100000000000003</v>
      </c>
      <c r="R441">
        <v>360.51</v>
      </c>
    </row>
    <row r="442" spans="1:18" x14ac:dyDescent="0.3">
      <c r="A442" t="s">
        <v>912</v>
      </c>
      <c r="B442" t="s">
        <v>913</v>
      </c>
      <c r="C442" t="s">
        <v>20</v>
      </c>
      <c r="D442" t="s">
        <v>57</v>
      </c>
      <c r="E442" t="s">
        <v>31</v>
      </c>
      <c r="F442" s="1">
        <v>45593</v>
      </c>
      <c r="G442" s="1">
        <v>45618</v>
      </c>
      <c r="H442">
        <v>332946</v>
      </c>
      <c r="I442">
        <v>14616</v>
      </c>
      <c r="J442">
        <v>1264</v>
      </c>
      <c r="K442">
        <v>12316.37</v>
      </c>
      <c r="L442">
        <v>37009.21</v>
      </c>
      <c r="M442">
        <v>4.3899999999999997</v>
      </c>
      <c r="N442">
        <v>8.65</v>
      </c>
      <c r="O442">
        <v>0.84</v>
      </c>
      <c r="P442">
        <v>9.74</v>
      </c>
      <c r="Q442">
        <v>3</v>
      </c>
      <c r="R442">
        <v>200.49</v>
      </c>
    </row>
    <row r="443" spans="1:18" x14ac:dyDescent="0.3">
      <c r="A443" t="s">
        <v>914</v>
      </c>
      <c r="B443" t="s">
        <v>915</v>
      </c>
      <c r="C443" t="s">
        <v>29</v>
      </c>
      <c r="D443" t="s">
        <v>30</v>
      </c>
      <c r="E443" t="s">
        <v>31</v>
      </c>
      <c r="F443" s="1">
        <v>45606</v>
      </c>
      <c r="G443" s="1">
        <v>45623</v>
      </c>
      <c r="H443">
        <v>317602</v>
      </c>
      <c r="I443">
        <v>5621</v>
      </c>
      <c r="J443">
        <v>214</v>
      </c>
      <c r="K443">
        <v>3158.88</v>
      </c>
      <c r="L443">
        <v>9713.44</v>
      </c>
      <c r="M443">
        <v>1.77</v>
      </c>
      <c r="N443">
        <v>3.82</v>
      </c>
      <c r="O443">
        <v>0.56000000000000005</v>
      </c>
      <c r="P443">
        <v>14.76</v>
      </c>
      <c r="Q443">
        <v>3.07</v>
      </c>
      <c r="R443">
        <v>207.5</v>
      </c>
    </row>
    <row r="444" spans="1:18" x14ac:dyDescent="0.3">
      <c r="A444" t="s">
        <v>916</v>
      </c>
      <c r="B444" t="s">
        <v>917</v>
      </c>
      <c r="C444" t="s">
        <v>37</v>
      </c>
      <c r="D444" t="s">
        <v>34</v>
      </c>
      <c r="E444" t="s">
        <v>38</v>
      </c>
      <c r="F444" s="1">
        <v>45539</v>
      </c>
      <c r="G444" s="1">
        <v>45568</v>
      </c>
      <c r="H444">
        <v>133478</v>
      </c>
      <c r="I444">
        <v>6767</v>
      </c>
      <c r="J444">
        <v>1183</v>
      </c>
      <c r="K444">
        <v>3467.36</v>
      </c>
      <c r="L444">
        <v>22034.41</v>
      </c>
      <c r="M444">
        <v>5.07</v>
      </c>
      <c r="N444">
        <v>17.489999999999998</v>
      </c>
      <c r="O444">
        <v>0.51</v>
      </c>
      <c r="P444">
        <v>2.93</v>
      </c>
      <c r="Q444">
        <v>6.35</v>
      </c>
      <c r="R444">
        <v>535.48</v>
      </c>
    </row>
    <row r="445" spans="1:18" x14ac:dyDescent="0.3">
      <c r="A445" t="s">
        <v>918</v>
      </c>
      <c r="B445" t="s">
        <v>919</v>
      </c>
      <c r="C445" t="s">
        <v>20</v>
      </c>
      <c r="D445" t="s">
        <v>34</v>
      </c>
      <c r="E445" t="s">
        <v>38</v>
      </c>
      <c r="F445" s="1">
        <v>45476</v>
      </c>
      <c r="G445" s="1">
        <v>45507</v>
      </c>
      <c r="H445">
        <v>171503</v>
      </c>
      <c r="I445">
        <v>4716</v>
      </c>
      <c r="J445">
        <v>293</v>
      </c>
      <c r="K445">
        <v>5856.17</v>
      </c>
      <c r="L445">
        <v>17161.41</v>
      </c>
      <c r="M445">
        <v>2.75</v>
      </c>
      <c r="N445">
        <v>6.22</v>
      </c>
      <c r="O445">
        <v>1.24</v>
      </c>
      <c r="P445">
        <v>19.989999999999998</v>
      </c>
      <c r="Q445">
        <v>2.93</v>
      </c>
      <c r="R445">
        <v>193.05</v>
      </c>
    </row>
    <row r="446" spans="1:18" x14ac:dyDescent="0.3">
      <c r="A446" t="s">
        <v>920</v>
      </c>
      <c r="B446" t="s">
        <v>921</v>
      </c>
      <c r="C446" t="s">
        <v>25</v>
      </c>
      <c r="D446" t="s">
        <v>30</v>
      </c>
      <c r="E446" t="s">
        <v>26</v>
      </c>
      <c r="F446" s="1">
        <v>45432</v>
      </c>
      <c r="G446" s="1">
        <v>45455</v>
      </c>
      <c r="H446">
        <v>70921</v>
      </c>
      <c r="I446">
        <v>1751</v>
      </c>
      <c r="J446">
        <v>127</v>
      </c>
      <c r="K446">
        <v>15259.78</v>
      </c>
      <c r="L446">
        <v>66321.72</v>
      </c>
      <c r="M446">
        <v>2.4700000000000002</v>
      </c>
      <c r="N446">
        <v>7.27</v>
      </c>
      <c r="O446">
        <v>8.7100000000000009</v>
      </c>
      <c r="P446">
        <v>120.16</v>
      </c>
      <c r="Q446">
        <v>4.3499999999999996</v>
      </c>
      <c r="R446">
        <v>334.62</v>
      </c>
    </row>
    <row r="447" spans="1:18" x14ac:dyDescent="0.3">
      <c r="A447" t="s">
        <v>922</v>
      </c>
      <c r="B447" t="s">
        <v>923</v>
      </c>
      <c r="C447" t="s">
        <v>37</v>
      </c>
      <c r="D447" t="s">
        <v>34</v>
      </c>
      <c r="E447" t="s">
        <v>38</v>
      </c>
      <c r="F447" s="1">
        <v>45420</v>
      </c>
      <c r="G447" s="1">
        <v>45451</v>
      </c>
      <c r="H447">
        <v>392714</v>
      </c>
      <c r="I447">
        <v>24623</v>
      </c>
      <c r="J447">
        <v>3417</v>
      </c>
      <c r="K447">
        <v>4542.0200000000004</v>
      </c>
      <c r="L447">
        <v>10674.97</v>
      </c>
      <c r="M447">
        <v>6.27</v>
      </c>
      <c r="N447">
        <v>13.88</v>
      </c>
      <c r="O447">
        <v>0.18</v>
      </c>
      <c r="P447">
        <v>1.33</v>
      </c>
      <c r="Q447">
        <v>2.35</v>
      </c>
      <c r="R447">
        <v>135.03</v>
      </c>
    </row>
    <row r="448" spans="1:18" x14ac:dyDescent="0.3">
      <c r="A448" t="s">
        <v>924</v>
      </c>
      <c r="B448" t="s">
        <v>925</v>
      </c>
      <c r="C448" t="s">
        <v>29</v>
      </c>
      <c r="D448" t="s">
        <v>30</v>
      </c>
      <c r="E448" t="s">
        <v>22</v>
      </c>
      <c r="F448" s="1">
        <v>45548</v>
      </c>
      <c r="G448" s="1">
        <v>45563</v>
      </c>
      <c r="H448">
        <v>478467</v>
      </c>
      <c r="I448">
        <v>19617</v>
      </c>
      <c r="J448">
        <v>869</v>
      </c>
      <c r="K448">
        <v>10231.65</v>
      </c>
      <c r="L448">
        <v>48282.64</v>
      </c>
      <c r="M448">
        <v>4.0999999999999996</v>
      </c>
      <c r="N448">
        <v>4.43</v>
      </c>
      <c r="O448">
        <v>0.52</v>
      </c>
      <c r="P448">
        <v>11.77</v>
      </c>
      <c r="Q448">
        <v>4.72</v>
      </c>
      <c r="R448">
        <v>371.89</v>
      </c>
    </row>
    <row r="449" spans="1:18" x14ac:dyDescent="0.3">
      <c r="A449" t="s">
        <v>926</v>
      </c>
      <c r="B449" t="s">
        <v>927</v>
      </c>
      <c r="C449" t="s">
        <v>25</v>
      </c>
      <c r="D449" t="s">
        <v>34</v>
      </c>
      <c r="E449" t="s">
        <v>41</v>
      </c>
      <c r="F449" s="1">
        <v>45600</v>
      </c>
      <c r="G449" s="1">
        <v>45614</v>
      </c>
      <c r="H449">
        <v>90416</v>
      </c>
      <c r="I449">
        <v>1509</v>
      </c>
      <c r="J449">
        <v>105</v>
      </c>
      <c r="K449">
        <v>6403.85</v>
      </c>
      <c r="L449">
        <v>17342.32</v>
      </c>
      <c r="M449">
        <v>1.67</v>
      </c>
      <c r="N449">
        <v>6.97</v>
      </c>
      <c r="O449">
        <v>4.24</v>
      </c>
      <c r="P449">
        <v>60.99</v>
      </c>
      <c r="Q449">
        <v>2.71</v>
      </c>
      <c r="R449">
        <v>170.81</v>
      </c>
    </row>
    <row r="450" spans="1:18" x14ac:dyDescent="0.3">
      <c r="A450" t="s">
        <v>928</v>
      </c>
      <c r="B450" t="s">
        <v>929</v>
      </c>
      <c r="C450" t="s">
        <v>29</v>
      </c>
      <c r="D450" t="s">
        <v>30</v>
      </c>
      <c r="E450" t="s">
        <v>22</v>
      </c>
      <c r="F450" s="1">
        <v>45502</v>
      </c>
      <c r="G450" s="1">
        <v>45510</v>
      </c>
      <c r="H450">
        <v>427621</v>
      </c>
      <c r="I450">
        <v>7868</v>
      </c>
      <c r="J450">
        <v>423</v>
      </c>
      <c r="K450">
        <v>10185.32</v>
      </c>
      <c r="L450">
        <v>47448.91</v>
      </c>
      <c r="M450">
        <v>1.84</v>
      </c>
      <c r="N450">
        <v>5.38</v>
      </c>
      <c r="O450">
        <v>1.29</v>
      </c>
      <c r="P450">
        <v>24.08</v>
      </c>
      <c r="Q450">
        <v>4.66</v>
      </c>
      <c r="R450">
        <v>365.86</v>
      </c>
    </row>
    <row r="451" spans="1:18" x14ac:dyDescent="0.3">
      <c r="A451" t="s">
        <v>930</v>
      </c>
      <c r="B451" t="s">
        <v>931</v>
      </c>
      <c r="C451" t="s">
        <v>29</v>
      </c>
      <c r="D451" t="s">
        <v>21</v>
      </c>
      <c r="E451" t="s">
        <v>41</v>
      </c>
      <c r="F451" s="1">
        <v>45367</v>
      </c>
      <c r="G451" s="1">
        <v>45377</v>
      </c>
      <c r="H451">
        <v>350672</v>
      </c>
      <c r="I451">
        <v>11502</v>
      </c>
      <c r="J451">
        <v>307</v>
      </c>
      <c r="K451">
        <v>10689.64</v>
      </c>
      <c r="L451">
        <v>64229.66</v>
      </c>
      <c r="M451">
        <v>3.28</v>
      </c>
      <c r="N451">
        <v>2.67</v>
      </c>
      <c r="O451">
        <v>0.93</v>
      </c>
      <c r="P451">
        <v>34.82</v>
      </c>
      <c r="Q451">
        <v>6.01</v>
      </c>
      <c r="R451">
        <v>500.86</v>
      </c>
    </row>
    <row r="452" spans="1:18" x14ac:dyDescent="0.3">
      <c r="A452" t="s">
        <v>932</v>
      </c>
      <c r="B452" t="s">
        <v>933</v>
      </c>
      <c r="C452" t="s">
        <v>29</v>
      </c>
      <c r="D452" t="s">
        <v>57</v>
      </c>
      <c r="E452" t="s">
        <v>41</v>
      </c>
      <c r="F452" s="1">
        <v>45437</v>
      </c>
      <c r="G452" s="1">
        <v>45449</v>
      </c>
      <c r="H452">
        <v>320868</v>
      </c>
      <c r="I452">
        <v>14021</v>
      </c>
      <c r="J452">
        <v>701</v>
      </c>
      <c r="K452">
        <v>11454.07</v>
      </c>
      <c r="L452">
        <v>23867.88</v>
      </c>
      <c r="M452">
        <v>4.37</v>
      </c>
      <c r="N452">
        <v>5</v>
      </c>
      <c r="O452">
        <v>0.82</v>
      </c>
      <c r="P452">
        <v>16.34</v>
      </c>
      <c r="Q452">
        <v>2.08</v>
      </c>
      <c r="R452">
        <v>108.38</v>
      </c>
    </row>
    <row r="453" spans="1:18" x14ac:dyDescent="0.3">
      <c r="A453" t="s">
        <v>934</v>
      </c>
      <c r="B453" t="s">
        <v>935</v>
      </c>
      <c r="C453" t="s">
        <v>29</v>
      </c>
      <c r="D453" t="s">
        <v>30</v>
      </c>
      <c r="E453" t="s">
        <v>31</v>
      </c>
      <c r="F453" s="1">
        <v>45590</v>
      </c>
      <c r="G453" s="1">
        <v>45608</v>
      </c>
      <c r="H453">
        <v>297156</v>
      </c>
      <c r="I453">
        <v>12183</v>
      </c>
      <c r="J453">
        <v>347</v>
      </c>
      <c r="K453">
        <v>15455.45</v>
      </c>
      <c r="L453">
        <v>72698.95</v>
      </c>
      <c r="M453">
        <v>4.0999999999999996</v>
      </c>
      <c r="N453">
        <v>2.85</v>
      </c>
      <c r="O453">
        <v>1.27</v>
      </c>
      <c r="P453">
        <v>44.54</v>
      </c>
      <c r="Q453">
        <v>4.7</v>
      </c>
      <c r="R453">
        <v>370.38</v>
      </c>
    </row>
    <row r="454" spans="1:18" x14ac:dyDescent="0.3">
      <c r="A454" t="s">
        <v>936</v>
      </c>
      <c r="B454" t="s">
        <v>937</v>
      </c>
      <c r="C454" t="s">
        <v>37</v>
      </c>
      <c r="D454" t="s">
        <v>57</v>
      </c>
      <c r="E454" t="s">
        <v>41</v>
      </c>
      <c r="F454" s="1">
        <v>45485</v>
      </c>
      <c r="G454" s="1">
        <v>45516</v>
      </c>
      <c r="H454">
        <v>429682</v>
      </c>
      <c r="I454">
        <v>34847</v>
      </c>
      <c r="J454">
        <v>6000</v>
      </c>
      <c r="K454">
        <v>3184.4</v>
      </c>
      <c r="L454">
        <v>7355.3</v>
      </c>
      <c r="M454">
        <v>8.11</v>
      </c>
      <c r="N454">
        <v>17.22</v>
      </c>
      <c r="O454">
        <v>0.09</v>
      </c>
      <c r="P454">
        <v>0.53</v>
      </c>
      <c r="Q454">
        <v>2.31</v>
      </c>
      <c r="R454">
        <v>130.97999999999999</v>
      </c>
    </row>
    <row r="455" spans="1:18" x14ac:dyDescent="0.3">
      <c r="A455" t="s">
        <v>938</v>
      </c>
      <c r="B455" t="s">
        <v>939</v>
      </c>
      <c r="C455" t="s">
        <v>29</v>
      </c>
      <c r="D455" t="s">
        <v>21</v>
      </c>
      <c r="E455" t="s">
        <v>26</v>
      </c>
      <c r="F455" s="1">
        <v>45602</v>
      </c>
      <c r="G455" s="1">
        <v>45615</v>
      </c>
      <c r="H455">
        <v>156088</v>
      </c>
      <c r="I455">
        <v>4791</v>
      </c>
      <c r="J455">
        <v>313</v>
      </c>
      <c r="K455">
        <v>13265.52</v>
      </c>
      <c r="L455">
        <v>75869.67</v>
      </c>
      <c r="M455">
        <v>3.07</v>
      </c>
      <c r="N455">
        <v>6.55</v>
      </c>
      <c r="O455">
        <v>2.77</v>
      </c>
      <c r="P455">
        <v>42.38</v>
      </c>
      <c r="Q455">
        <v>5.72</v>
      </c>
      <c r="R455">
        <v>471.93</v>
      </c>
    </row>
    <row r="456" spans="1:18" x14ac:dyDescent="0.3">
      <c r="A456" t="s">
        <v>940</v>
      </c>
      <c r="B456" t="s">
        <v>941</v>
      </c>
      <c r="C456" t="s">
        <v>29</v>
      </c>
      <c r="D456" t="s">
        <v>30</v>
      </c>
      <c r="E456" t="s">
        <v>31</v>
      </c>
      <c r="F456" s="1">
        <v>45538</v>
      </c>
      <c r="G456" s="1">
        <v>45553</v>
      </c>
      <c r="H456">
        <v>364475</v>
      </c>
      <c r="I456">
        <v>5904</v>
      </c>
      <c r="J456">
        <v>349</v>
      </c>
      <c r="K456">
        <v>10549.94</v>
      </c>
      <c r="L456">
        <v>26678.94</v>
      </c>
      <c r="M456">
        <v>1.62</v>
      </c>
      <c r="N456">
        <v>5.92</v>
      </c>
      <c r="O456">
        <v>1.79</v>
      </c>
      <c r="P456">
        <v>30.23</v>
      </c>
      <c r="Q456">
        <v>2.5299999999999998</v>
      </c>
      <c r="R456">
        <v>152.88</v>
      </c>
    </row>
    <row r="457" spans="1:18" x14ac:dyDescent="0.3">
      <c r="A457" t="s">
        <v>942</v>
      </c>
      <c r="B457" t="s">
        <v>943</v>
      </c>
      <c r="C457" t="s">
        <v>37</v>
      </c>
      <c r="D457" t="s">
        <v>21</v>
      </c>
      <c r="E457" t="s">
        <v>38</v>
      </c>
      <c r="F457" s="1">
        <v>45538</v>
      </c>
      <c r="G457" s="1">
        <v>45569</v>
      </c>
      <c r="H457">
        <v>323701</v>
      </c>
      <c r="I457">
        <v>21105</v>
      </c>
      <c r="J457">
        <v>3535</v>
      </c>
      <c r="K457">
        <v>3639.39</v>
      </c>
      <c r="L457">
        <v>14303.91</v>
      </c>
      <c r="M457">
        <v>6.52</v>
      </c>
      <c r="N457">
        <v>16.75</v>
      </c>
      <c r="O457">
        <v>0.17</v>
      </c>
      <c r="P457">
        <v>1.03</v>
      </c>
      <c r="Q457">
        <v>3.93</v>
      </c>
      <c r="R457">
        <v>293.02999999999997</v>
      </c>
    </row>
    <row r="458" spans="1:18" x14ac:dyDescent="0.3">
      <c r="A458" t="s">
        <v>944</v>
      </c>
      <c r="B458" t="s">
        <v>945</v>
      </c>
      <c r="C458" t="s">
        <v>44</v>
      </c>
      <c r="D458" t="s">
        <v>21</v>
      </c>
      <c r="E458" t="s">
        <v>38</v>
      </c>
      <c r="F458" s="1">
        <v>45598</v>
      </c>
      <c r="G458" s="1">
        <v>45639</v>
      </c>
      <c r="H458">
        <v>120193</v>
      </c>
      <c r="I458">
        <v>2235</v>
      </c>
      <c r="J458">
        <v>93</v>
      </c>
      <c r="K458">
        <v>13876.07</v>
      </c>
      <c r="L458">
        <v>32985.9</v>
      </c>
      <c r="M458">
        <v>1.86</v>
      </c>
      <c r="N458">
        <v>4.18</v>
      </c>
      <c r="O458">
        <v>6.21</v>
      </c>
      <c r="P458">
        <v>149.21</v>
      </c>
      <c r="Q458">
        <v>2.38</v>
      </c>
      <c r="R458">
        <v>137.72</v>
      </c>
    </row>
    <row r="459" spans="1:18" x14ac:dyDescent="0.3">
      <c r="A459" t="s">
        <v>946</v>
      </c>
      <c r="B459" t="s">
        <v>947</v>
      </c>
      <c r="C459" t="s">
        <v>25</v>
      </c>
      <c r="D459" t="s">
        <v>57</v>
      </c>
      <c r="E459" t="s">
        <v>41</v>
      </c>
      <c r="F459" s="1">
        <v>45295</v>
      </c>
      <c r="G459" s="1">
        <v>45326</v>
      </c>
      <c r="H459">
        <v>52867</v>
      </c>
      <c r="I459">
        <v>1062</v>
      </c>
      <c r="J459">
        <v>111</v>
      </c>
      <c r="K459">
        <v>13247.79</v>
      </c>
      <c r="L459">
        <v>33519.94</v>
      </c>
      <c r="M459">
        <v>2.0099999999999998</v>
      </c>
      <c r="N459">
        <v>10.53</v>
      </c>
      <c r="O459">
        <v>12.47</v>
      </c>
      <c r="P459">
        <v>119.35</v>
      </c>
      <c r="Q459">
        <v>2.5299999999999998</v>
      </c>
      <c r="R459">
        <v>153.02000000000001</v>
      </c>
    </row>
    <row r="460" spans="1:18" x14ac:dyDescent="0.3">
      <c r="A460" t="s">
        <v>948</v>
      </c>
      <c r="B460" t="s">
        <v>949</v>
      </c>
      <c r="C460" t="s">
        <v>29</v>
      </c>
      <c r="D460" t="s">
        <v>57</v>
      </c>
      <c r="E460" t="s">
        <v>38</v>
      </c>
      <c r="F460" s="1">
        <v>45566</v>
      </c>
      <c r="G460" s="1">
        <v>45600</v>
      </c>
      <c r="H460">
        <v>239933</v>
      </c>
      <c r="I460">
        <v>4366</v>
      </c>
      <c r="J460">
        <v>180</v>
      </c>
      <c r="K460">
        <v>11780.55</v>
      </c>
      <c r="L460">
        <v>37413.410000000003</v>
      </c>
      <c r="M460">
        <v>1.82</v>
      </c>
      <c r="N460">
        <v>4.13</v>
      </c>
      <c r="O460">
        <v>2.7</v>
      </c>
      <c r="P460">
        <v>65.45</v>
      </c>
      <c r="Q460">
        <v>3.18</v>
      </c>
      <c r="R460">
        <v>217.59</v>
      </c>
    </row>
    <row r="461" spans="1:18" x14ac:dyDescent="0.3">
      <c r="A461" t="s">
        <v>950</v>
      </c>
      <c r="B461" t="s">
        <v>951</v>
      </c>
      <c r="C461" t="s">
        <v>37</v>
      </c>
      <c r="D461" t="s">
        <v>57</v>
      </c>
      <c r="E461" t="s">
        <v>31</v>
      </c>
      <c r="F461" s="1">
        <v>45577</v>
      </c>
      <c r="G461" s="1">
        <v>45614</v>
      </c>
      <c r="H461">
        <v>194473</v>
      </c>
      <c r="I461">
        <v>19350</v>
      </c>
      <c r="J461">
        <v>2316</v>
      </c>
      <c r="K461">
        <v>1416.62</v>
      </c>
      <c r="L461">
        <v>6352.79</v>
      </c>
      <c r="M461">
        <v>9.9499999999999993</v>
      </c>
      <c r="N461">
        <v>11.97</v>
      </c>
      <c r="O461">
        <v>7.0000000000000007E-2</v>
      </c>
      <c r="P461">
        <v>0.61</v>
      </c>
      <c r="Q461">
        <v>4.4800000000000004</v>
      </c>
      <c r="R461">
        <v>348.45</v>
      </c>
    </row>
    <row r="462" spans="1:18" x14ac:dyDescent="0.3">
      <c r="A462" t="s">
        <v>952</v>
      </c>
      <c r="B462" t="s">
        <v>953</v>
      </c>
      <c r="C462" t="s">
        <v>29</v>
      </c>
      <c r="D462" t="s">
        <v>57</v>
      </c>
      <c r="E462" t="s">
        <v>31</v>
      </c>
      <c r="F462" s="1">
        <v>45495</v>
      </c>
      <c r="G462" s="1">
        <v>45510</v>
      </c>
      <c r="H462">
        <v>340933</v>
      </c>
      <c r="I462">
        <v>10057</v>
      </c>
      <c r="J462">
        <v>697</v>
      </c>
      <c r="K462">
        <v>11664.77</v>
      </c>
      <c r="L462">
        <v>63968.14</v>
      </c>
      <c r="M462">
        <v>2.95</v>
      </c>
      <c r="N462">
        <v>6.94</v>
      </c>
      <c r="O462">
        <v>1.1599999999999999</v>
      </c>
      <c r="P462">
        <v>16.739999999999998</v>
      </c>
      <c r="Q462">
        <v>5.48</v>
      </c>
      <c r="R462">
        <v>448.39</v>
      </c>
    </row>
    <row r="463" spans="1:18" x14ac:dyDescent="0.3">
      <c r="A463" t="s">
        <v>954</v>
      </c>
      <c r="B463" t="s">
        <v>955</v>
      </c>
      <c r="C463" t="s">
        <v>20</v>
      </c>
      <c r="D463" t="s">
        <v>34</v>
      </c>
      <c r="E463" t="s">
        <v>38</v>
      </c>
      <c r="F463" s="1">
        <v>45465</v>
      </c>
      <c r="G463" s="1">
        <v>45507</v>
      </c>
      <c r="H463">
        <v>460574</v>
      </c>
      <c r="I463">
        <v>24410</v>
      </c>
      <c r="J463">
        <v>1213</v>
      </c>
      <c r="K463">
        <v>9289.16</v>
      </c>
      <c r="L463">
        <v>35322.25</v>
      </c>
      <c r="M463">
        <v>5.3</v>
      </c>
      <c r="N463">
        <v>4.97</v>
      </c>
      <c r="O463">
        <v>0.38</v>
      </c>
      <c r="P463">
        <v>7.66</v>
      </c>
      <c r="Q463">
        <v>3.8</v>
      </c>
      <c r="R463">
        <v>280.25</v>
      </c>
    </row>
    <row r="464" spans="1:18" x14ac:dyDescent="0.3">
      <c r="A464" t="s">
        <v>956</v>
      </c>
      <c r="B464" t="s">
        <v>957</v>
      </c>
      <c r="C464" t="s">
        <v>37</v>
      </c>
      <c r="D464" t="s">
        <v>21</v>
      </c>
      <c r="E464" t="s">
        <v>41</v>
      </c>
      <c r="F464" s="1">
        <v>45599</v>
      </c>
      <c r="G464" s="1">
        <v>45633</v>
      </c>
      <c r="H464">
        <v>254002</v>
      </c>
      <c r="I464">
        <v>24866</v>
      </c>
      <c r="J464">
        <v>2001</v>
      </c>
      <c r="K464">
        <v>909.9</v>
      </c>
      <c r="L464">
        <v>2414.85</v>
      </c>
      <c r="M464">
        <v>9.7899999999999991</v>
      </c>
      <c r="N464">
        <v>8.0500000000000007</v>
      </c>
      <c r="O464">
        <v>0.04</v>
      </c>
      <c r="P464">
        <v>0.45</v>
      </c>
      <c r="Q464">
        <v>2.65</v>
      </c>
      <c r="R464">
        <v>165.4</v>
      </c>
    </row>
    <row r="465" spans="1:18" x14ac:dyDescent="0.3">
      <c r="A465" t="s">
        <v>958</v>
      </c>
      <c r="B465" t="s">
        <v>959</v>
      </c>
      <c r="C465" t="s">
        <v>20</v>
      </c>
      <c r="D465" t="s">
        <v>21</v>
      </c>
      <c r="E465" t="s">
        <v>22</v>
      </c>
      <c r="F465" s="1">
        <v>45497</v>
      </c>
      <c r="G465" s="1">
        <v>45537</v>
      </c>
      <c r="H465">
        <v>166271</v>
      </c>
      <c r="I465">
        <v>6617</v>
      </c>
      <c r="J465">
        <v>506</v>
      </c>
      <c r="K465">
        <v>19489.89</v>
      </c>
      <c r="L465">
        <v>120605.05</v>
      </c>
      <c r="M465">
        <v>3.98</v>
      </c>
      <c r="N465">
        <v>7.65</v>
      </c>
      <c r="O465">
        <v>2.95</v>
      </c>
      <c r="P465">
        <v>38.520000000000003</v>
      </c>
      <c r="Q465">
        <v>6.19</v>
      </c>
      <c r="R465">
        <v>518.80999999999995</v>
      </c>
    </row>
    <row r="466" spans="1:18" x14ac:dyDescent="0.3">
      <c r="A466" t="s">
        <v>960</v>
      </c>
      <c r="B466" t="s">
        <v>961</v>
      </c>
      <c r="C466" t="s">
        <v>44</v>
      </c>
      <c r="D466" t="s">
        <v>21</v>
      </c>
      <c r="E466" t="s">
        <v>41</v>
      </c>
      <c r="F466" s="1">
        <v>45557</v>
      </c>
      <c r="G466" s="1">
        <v>45582</v>
      </c>
      <c r="H466">
        <v>385697</v>
      </c>
      <c r="I466">
        <v>9603</v>
      </c>
      <c r="J466">
        <v>147</v>
      </c>
      <c r="K466">
        <v>13132.1</v>
      </c>
      <c r="L466">
        <v>81266.86</v>
      </c>
      <c r="M466">
        <v>2.4900000000000002</v>
      </c>
      <c r="N466">
        <v>1.54</v>
      </c>
      <c r="O466">
        <v>1.37</v>
      </c>
      <c r="P466">
        <v>89.33</v>
      </c>
      <c r="Q466">
        <v>6.19</v>
      </c>
      <c r="R466">
        <v>518.84</v>
      </c>
    </row>
    <row r="467" spans="1:18" x14ac:dyDescent="0.3">
      <c r="A467" t="s">
        <v>962</v>
      </c>
      <c r="B467" t="s">
        <v>963</v>
      </c>
      <c r="C467" t="s">
        <v>29</v>
      </c>
      <c r="D467" t="s">
        <v>21</v>
      </c>
      <c r="E467" t="s">
        <v>31</v>
      </c>
      <c r="F467" s="1">
        <v>45414</v>
      </c>
      <c r="G467" s="1">
        <v>45421</v>
      </c>
      <c r="H467">
        <v>317674</v>
      </c>
      <c r="I467">
        <v>9689</v>
      </c>
      <c r="J467">
        <v>306</v>
      </c>
      <c r="K467">
        <v>5542.24</v>
      </c>
      <c r="L467">
        <v>11983.85</v>
      </c>
      <c r="M467">
        <v>3.05</v>
      </c>
      <c r="N467">
        <v>3.16</v>
      </c>
      <c r="O467">
        <v>0.56999999999999995</v>
      </c>
      <c r="P467">
        <v>18.11</v>
      </c>
      <c r="Q467">
        <v>2.16</v>
      </c>
      <c r="R467">
        <v>116.23</v>
      </c>
    </row>
    <row r="468" spans="1:18" x14ac:dyDescent="0.3">
      <c r="A468" t="s">
        <v>964</v>
      </c>
      <c r="B468" t="s">
        <v>965</v>
      </c>
      <c r="C468" t="s">
        <v>29</v>
      </c>
      <c r="D468" t="s">
        <v>21</v>
      </c>
      <c r="E468" t="s">
        <v>22</v>
      </c>
      <c r="F468" s="1">
        <v>45299</v>
      </c>
      <c r="G468" s="1">
        <v>45310</v>
      </c>
      <c r="H468">
        <v>458773</v>
      </c>
      <c r="I468">
        <v>12386</v>
      </c>
      <c r="J468">
        <v>662</v>
      </c>
      <c r="K468">
        <v>9081.76</v>
      </c>
      <c r="L468">
        <v>26349.79</v>
      </c>
      <c r="M468">
        <v>2.7</v>
      </c>
      <c r="N468">
        <v>5.35</v>
      </c>
      <c r="O468">
        <v>0.73</v>
      </c>
      <c r="P468">
        <v>13.72</v>
      </c>
      <c r="Q468">
        <v>2.9</v>
      </c>
      <c r="R468">
        <v>190.14</v>
      </c>
    </row>
    <row r="469" spans="1:18" x14ac:dyDescent="0.3">
      <c r="A469" t="s">
        <v>966</v>
      </c>
      <c r="B469" t="s">
        <v>967</v>
      </c>
      <c r="C469" t="s">
        <v>20</v>
      </c>
      <c r="D469" t="s">
        <v>57</v>
      </c>
      <c r="E469" t="s">
        <v>31</v>
      </c>
      <c r="F469" s="1">
        <v>45391</v>
      </c>
      <c r="G469" s="1">
        <v>45427</v>
      </c>
      <c r="H469">
        <v>355624</v>
      </c>
      <c r="I469">
        <v>13833</v>
      </c>
      <c r="J469">
        <v>1352</v>
      </c>
      <c r="K469">
        <v>10530.16</v>
      </c>
      <c r="L469">
        <v>49793.29</v>
      </c>
      <c r="M469">
        <v>3.89</v>
      </c>
      <c r="N469">
        <v>9.7799999999999994</v>
      </c>
      <c r="O469">
        <v>0.76</v>
      </c>
      <c r="P469">
        <v>7.79</v>
      </c>
      <c r="Q469">
        <v>4.7300000000000004</v>
      </c>
      <c r="R469">
        <v>372.86</v>
      </c>
    </row>
    <row r="470" spans="1:18" x14ac:dyDescent="0.3">
      <c r="A470" t="s">
        <v>968</v>
      </c>
      <c r="B470" t="s">
        <v>969</v>
      </c>
      <c r="C470" t="s">
        <v>25</v>
      </c>
      <c r="D470" t="s">
        <v>21</v>
      </c>
      <c r="E470" t="s">
        <v>22</v>
      </c>
      <c r="F470" s="1">
        <v>45351</v>
      </c>
      <c r="G470" s="1">
        <v>45390</v>
      </c>
      <c r="H470">
        <v>141768</v>
      </c>
      <c r="I470">
        <v>2112</v>
      </c>
      <c r="J470">
        <v>121</v>
      </c>
      <c r="K470">
        <v>5158.18</v>
      </c>
      <c r="L470">
        <v>17146.48</v>
      </c>
      <c r="M470">
        <v>1.49</v>
      </c>
      <c r="N470">
        <v>5.75</v>
      </c>
      <c r="O470">
        <v>2.44</v>
      </c>
      <c r="P470">
        <v>42.63</v>
      </c>
      <c r="Q470">
        <v>3.32</v>
      </c>
      <c r="R470">
        <v>232.41</v>
      </c>
    </row>
    <row r="471" spans="1:18" x14ac:dyDescent="0.3">
      <c r="A471" t="s">
        <v>970</v>
      </c>
      <c r="B471" t="s">
        <v>971</v>
      </c>
      <c r="C471" t="s">
        <v>44</v>
      </c>
      <c r="D471" t="s">
        <v>57</v>
      </c>
      <c r="E471" t="s">
        <v>38</v>
      </c>
      <c r="F471" s="1">
        <v>45526</v>
      </c>
      <c r="G471" s="1">
        <v>45562</v>
      </c>
      <c r="H471">
        <v>247698</v>
      </c>
      <c r="I471">
        <v>6588</v>
      </c>
      <c r="J471">
        <v>276</v>
      </c>
      <c r="K471">
        <v>11968.42</v>
      </c>
      <c r="L471">
        <v>75707.13</v>
      </c>
      <c r="M471">
        <v>2.66</v>
      </c>
      <c r="N471">
        <v>4.1900000000000004</v>
      </c>
      <c r="O471">
        <v>1.82</v>
      </c>
      <c r="P471">
        <v>43.36</v>
      </c>
      <c r="Q471">
        <v>6.33</v>
      </c>
      <c r="R471">
        <v>532.55999999999995</v>
      </c>
    </row>
    <row r="472" spans="1:18" x14ac:dyDescent="0.3">
      <c r="A472" t="s">
        <v>972</v>
      </c>
      <c r="B472" t="s">
        <v>973</v>
      </c>
      <c r="C472" t="s">
        <v>37</v>
      </c>
      <c r="D472" t="s">
        <v>21</v>
      </c>
      <c r="E472" t="s">
        <v>38</v>
      </c>
      <c r="F472" s="1">
        <v>45409</v>
      </c>
      <c r="G472" s="1">
        <v>45436</v>
      </c>
      <c r="H472">
        <v>110958</v>
      </c>
      <c r="I472">
        <v>6158</v>
      </c>
      <c r="J472">
        <v>728</v>
      </c>
      <c r="K472">
        <v>4048.95</v>
      </c>
      <c r="L472">
        <v>12113.33</v>
      </c>
      <c r="M472">
        <v>5.55</v>
      </c>
      <c r="N472">
        <v>11.83</v>
      </c>
      <c r="O472">
        <v>0.66</v>
      </c>
      <c r="P472">
        <v>5.56</v>
      </c>
      <c r="Q472">
        <v>2.99</v>
      </c>
      <c r="R472">
        <v>199.17</v>
      </c>
    </row>
    <row r="473" spans="1:18" x14ac:dyDescent="0.3">
      <c r="A473" t="s">
        <v>974</v>
      </c>
      <c r="B473" t="s">
        <v>975</v>
      </c>
      <c r="C473" t="s">
        <v>25</v>
      </c>
      <c r="D473" t="s">
        <v>57</v>
      </c>
      <c r="E473" t="s">
        <v>31</v>
      </c>
      <c r="F473" s="1">
        <v>45467</v>
      </c>
      <c r="G473" s="1">
        <v>45478</v>
      </c>
      <c r="H473">
        <v>330835</v>
      </c>
      <c r="I473">
        <v>2712</v>
      </c>
      <c r="J473">
        <v>293</v>
      </c>
      <c r="K473">
        <v>7972.12</v>
      </c>
      <c r="L473">
        <v>19280.91</v>
      </c>
      <c r="M473">
        <v>0.82</v>
      </c>
      <c r="N473">
        <v>10.83</v>
      </c>
      <c r="O473">
        <v>2.94</v>
      </c>
      <c r="P473">
        <v>27.21</v>
      </c>
      <c r="Q473">
        <v>2.42</v>
      </c>
      <c r="R473">
        <v>141.85</v>
      </c>
    </row>
    <row r="474" spans="1:18" x14ac:dyDescent="0.3">
      <c r="A474" t="s">
        <v>976</v>
      </c>
      <c r="B474" t="s">
        <v>977</v>
      </c>
      <c r="C474" t="s">
        <v>37</v>
      </c>
      <c r="D474" t="s">
        <v>34</v>
      </c>
      <c r="E474" t="s">
        <v>38</v>
      </c>
      <c r="F474" s="1">
        <v>45389</v>
      </c>
      <c r="G474" s="1">
        <v>45427</v>
      </c>
      <c r="H474">
        <v>214559</v>
      </c>
      <c r="I474">
        <v>13131</v>
      </c>
      <c r="J474">
        <v>2224</v>
      </c>
      <c r="K474">
        <v>1710.84</v>
      </c>
      <c r="L474">
        <v>10713.33</v>
      </c>
      <c r="M474">
        <v>6.12</v>
      </c>
      <c r="N474">
        <v>16.940000000000001</v>
      </c>
      <c r="O474">
        <v>0.13</v>
      </c>
      <c r="P474">
        <v>0.77</v>
      </c>
      <c r="Q474">
        <v>6.26</v>
      </c>
      <c r="R474">
        <v>526.20000000000005</v>
      </c>
    </row>
    <row r="475" spans="1:18" x14ac:dyDescent="0.3">
      <c r="A475" t="s">
        <v>978</v>
      </c>
      <c r="B475" t="s">
        <v>979</v>
      </c>
      <c r="C475" t="s">
        <v>29</v>
      </c>
      <c r="D475" t="s">
        <v>34</v>
      </c>
      <c r="E475" t="s">
        <v>41</v>
      </c>
      <c r="F475" s="1">
        <v>45371</v>
      </c>
      <c r="G475" s="1">
        <v>45384</v>
      </c>
      <c r="H475">
        <v>189148</v>
      </c>
      <c r="I475">
        <v>4009</v>
      </c>
      <c r="J475">
        <v>120</v>
      </c>
      <c r="K475">
        <v>6745.43</v>
      </c>
      <c r="L475">
        <v>32268.02</v>
      </c>
      <c r="M475">
        <v>2.12</v>
      </c>
      <c r="N475">
        <v>3.01</v>
      </c>
      <c r="O475">
        <v>1.68</v>
      </c>
      <c r="P475">
        <v>56.21</v>
      </c>
      <c r="Q475">
        <v>4.78</v>
      </c>
      <c r="R475">
        <v>378.37</v>
      </c>
    </row>
    <row r="476" spans="1:18" x14ac:dyDescent="0.3">
      <c r="A476" t="s">
        <v>980</v>
      </c>
      <c r="B476" t="s">
        <v>981</v>
      </c>
      <c r="C476" t="s">
        <v>20</v>
      </c>
      <c r="D476" t="s">
        <v>21</v>
      </c>
      <c r="E476" t="s">
        <v>38</v>
      </c>
      <c r="F476" s="1">
        <v>45482</v>
      </c>
      <c r="G476" s="1">
        <v>45509</v>
      </c>
      <c r="H476">
        <v>371822</v>
      </c>
      <c r="I476">
        <v>9407</v>
      </c>
      <c r="J476">
        <v>859</v>
      </c>
      <c r="K476">
        <v>24159.86</v>
      </c>
      <c r="L476">
        <v>140514.9</v>
      </c>
      <c r="M476">
        <v>2.5299999999999998</v>
      </c>
      <c r="N476">
        <v>9.14</v>
      </c>
      <c r="O476">
        <v>2.57</v>
      </c>
      <c r="P476">
        <v>28.13</v>
      </c>
      <c r="Q476">
        <v>5.82</v>
      </c>
      <c r="R476">
        <v>481.6</v>
      </c>
    </row>
    <row r="477" spans="1:18" x14ac:dyDescent="0.3">
      <c r="A477" t="s">
        <v>982</v>
      </c>
      <c r="B477" t="s">
        <v>983</v>
      </c>
      <c r="C477" t="s">
        <v>25</v>
      </c>
      <c r="D477" t="s">
        <v>57</v>
      </c>
      <c r="E477" t="s">
        <v>38</v>
      </c>
      <c r="F477" s="1">
        <v>45587</v>
      </c>
      <c r="G477" s="1">
        <v>45602</v>
      </c>
      <c r="H477">
        <v>145877</v>
      </c>
      <c r="I477">
        <v>3603</v>
      </c>
      <c r="J477">
        <v>411</v>
      </c>
      <c r="K477">
        <v>8484.27</v>
      </c>
      <c r="L477">
        <v>25447.87</v>
      </c>
      <c r="M477">
        <v>2.4700000000000002</v>
      </c>
      <c r="N477">
        <v>11.41</v>
      </c>
      <c r="O477">
        <v>2.35</v>
      </c>
      <c r="P477">
        <v>20.64</v>
      </c>
      <c r="Q477">
        <v>3</v>
      </c>
      <c r="R477">
        <v>199.94</v>
      </c>
    </row>
    <row r="478" spans="1:18" x14ac:dyDescent="0.3">
      <c r="A478" t="s">
        <v>984</v>
      </c>
      <c r="B478" t="s">
        <v>985</v>
      </c>
      <c r="C478" t="s">
        <v>20</v>
      </c>
      <c r="D478" t="s">
        <v>30</v>
      </c>
      <c r="E478" t="s">
        <v>38</v>
      </c>
      <c r="F478" s="1">
        <v>45526</v>
      </c>
      <c r="G478" s="1">
        <v>45540</v>
      </c>
      <c r="H478">
        <v>333518</v>
      </c>
      <c r="I478">
        <v>8771</v>
      </c>
      <c r="J478">
        <v>533</v>
      </c>
      <c r="K478">
        <v>22208</v>
      </c>
      <c r="L478">
        <v>121956.74</v>
      </c>
      <c r="M478">
        <v>2.63</v>
      </c>
      <c r="N478">
        <v>6.08</v>
      </c>
      <c r="O478">
        <v>2.5299999999999998</v>
      </c>
      <c r="P478">
        <v>41.67</v>
      </c>
      <c r="Q478">
        <v>5.49</v>
      </c>
      <c r="R478">
        <v>449.16</v>
      </c>
    </row>
    <row r="479" spans="1:18" x14ac:dyDescent="0.3">
      <c r="A479" t="s">
        <v>986</v>
      </c>
      <c r="B479" t="s">
        <v>987</v>
      </c>
      <c r="C479" t="s">
        <v>37</v>
      </c>
      <c r="D479" t="s">
        <v>30</v>
      </c>
      <c r="E479" t="s">
        <v>22</v>
      </c>
      <c r="F479" s="1">
        <v>45477</v>
      </c>
      <c r="G479" s="1">
        <v>45500</v>
      </c>
      <c r="H479">
        <v>411344</v>
      </c>
      <c r="I479">
        <v>16659</v>
      </c>
      <c r="J479">
        <v>2455</v>
      </c>
      <c r="K479">
        <v>2207.4299999999998</v>
      </c>
      <c r="L479">
        <v>5415.63</v>
      </c>
      <c r="M479">
        <v>4.05</v>
      </c>
      <c r="N479">
        <v>14.74</v>
      </c>
      <c r="O479">
        <v>0.13</v>
      </c>
      <c r="P479">
        <v>0.9</v>
      </c>
      <c r="Q479">
        <v>2.4500000000000002</v>
      </c>
      <c r="R479">
        <v>145.34</v>
      </c>
    </row>
    <row r="480" spans="1:18" x14ac:dyDescent="0.3">
      <c r="A480" t="s">
        <v>988</v>
      </c>
      <c r="B480" t="s">
        <v>989</v>
      </c>
      <c r="C480" t="s">
        <v>29</v>
      </c>
      <c r="D480" t="s">
        <v>57</v>
      </c>
      <c r="E480" t="s">
        <v>41</v>
      </c>
      <c r="F480" s="1">
        <v>45399</v>
      </c>
      <c r="G480" s="1">
        <v>45432</v>
      </c>
      <c r="H480">
        <v>191247</v>
      </c>
      <c r="I480">
        <v>5565</v>
      </c>
      <c r="J480">
        <v>282</v>
      </c>
      <c r="K480">
        <v>8488.86</v>
      </c>
      <c r="L480">
        <v>36030.67</v>
      </c>
      <c r="M480">
        <v>2.91</v>
      </c>
      <c r="N480">
        <v>5.07</v>
      </c>
      <c r="O480">
        <v>1.53</v>
      </c>
      <c r="P480">
        <v>30.1</v>
      </c>
      <c r="Q480">
        <v>4.24</v>
      </c>
      <c r="R480">
        <v>324.45</v>
      </c>
    </row>
    <row r="481" spans="1:18" x14ac:dyDescent="0.3">
      <c r="A481" t="s">
        <v>990</v>
      </c>
      <c r="B481" t="s">
        <v>991</v>
      </c>
      <c r="C481" t="s">
        <v>44</v>
      </c>
      <c r="D481" t="s">
        <v>57</v>
      </c>
      <c r="E481" t="s">
        <v>38</v>
      </c>
      <c r="F481" s="1">
        <v>45343</v>
      </c>
      <c r="G481" s="1">
        <v>45367</v>
      </c>
      <c r="H481">
        <v>196606</v>
      </c>
      <c r="I481">
        <v>4659</v>
      </c>
      <c r="J481">
        <v>163</v>
      </c>
      <c r="K481">
        <v>14740.91</v>
      </c>
      <c r="L481">
        <v>74987.8</v>
      </c>
      <c r="M481">
        <v>2.37</v>
      </c>
      <c r="N481">
        <v>3.5</v>
      </c>
      <c r="O481">
        <v>3.16</v>
      </c>
      <c r="P481">
        <v>90.44</v>
      </c>
      <c r="Q481">
        <v>5.09</v>
      </c>
      <c r="R481">
        <v>408.71</v>
      </c>
    </row>
    <row r="482" spans="1:18" x14ac:dyDescent="0.3">
      <c r="A482" t="s">
        <v>992</v>
      </c>
      <c r="B482" t="s">
        <v>993</v>
      </c>
      <c r="C482" t="s">
        <v>29</v>
      </c>
      <c r="D482" t="s">
        <v>30</v>
      </c>
      <c r="E482" t="s">
        <v>38</v>
      </c>
      <c r="F482" s="1">
        <v>45382</v>
      </c>
      <c r="G482" s="1">
        <v>45415</v>
      </c>
      <c r="H482">
        <v>152793</v>
      </c>
      <c r="I482">
        <v>2964</v>
      </c>
      <c r="J482">
        <v>201</v>
      </c>
      <c r="K482">
        <v>5243.22</v>
      </c>
      <c r="L482">
        <v>29495.77</v>
      </c>
      <c r="M482">
        <v>1.94</v>
      </c>
      <c r="N482">
        <v>6.8</v>
      </c>
      <c r="O482">
        <v>1.77</v>
      </c>
      <c r="P482">
        <v>26.09</v>
      </c>
      <c r="Q482">
        <v>5.63</v>
      </c>
      <c r="R482">
        <v>462.55</v>
      </c>
    </row>
    <row r="483" spans="1:18" x14ac:dyDescent="0.3">
      <c r="A483" t="s">
        <v>994</v>
      </c>
      <c r="B483" t="s">
        <v>995</v>
      </c>
      <c r="C483" t="s">
        <v>25</v>
      </c>
      <c r="D483" t="s">
        <v>34</v>
      </c>
      <c r="E483" t="s">
        <v>31</v>
      </c>
      <c r="F483" s="1">
        <v>45582</v>
      </c>
      <c r="G483" s="1">
        <v>45592</v>
      </c>
      <c r="H483">
        <v>329960</v>
      </c>
      <c r="I483">
        <v>6665</v>
      </c>
      <c r="J483">
        <v>699</v>
      </c>
      <c r="K483">
        <v>8800.5499999999993</v>
      </c>
      <c r="L483">
        <v>39863.17</v>
      </c>
      <c r="M483">
        <v>2.02</v>
      </c>
      <c r="N483">
        <v>10.5</v>
      </c>
      <c r="O483">
        <v>1.32</v>
      </c>
      <c r="P483">
        <v>12.59</v>
      </c>
      <c r="Q483">
        <v>4.53</v>
      </c>
      <c r="R483">
        <v>352.96</v>
      </c>
    </row>
    <row r="484" spans="1:18" x14ac:dyDescent="0.3">
      <c r="A484" t="s">
        <v>996</v>
      </c>
      <c r="B484" t="s">
        <v>997</v>
      </c>
      <c r="C484" t="s">
        <v>25</v>
      </c>
      <c r="D484" t="s">
        <v>21</v>
      </c>
      <c r="E484" t="s">
        <v>41</v>
      </c>
      <c r="F484" s="1">
        <v>45463</v>
      </c>
      <c r="G484" s="1">
        <v>45486</v>
      </c>
      <c r="H484">
        <v>81476</v>
      </c>
      <c r="I484">
        <v>953</v>
      </c>
      <c r="J484">
        <v>64</v>
      </c>
      <c r="K484">
        <v>17423.55</v>
      </c>
      <c r="L484">
        <v>42397.74</v>
      </c>
      <c r="M484">
        <v>1.17</v>
      </c>
      <c r="N484">
        <v>6.78</v>
      </c>
      <c r="O484">
        <v>18.28</v>
      </c>
      <c r="P484">
        <v>272.24</v>
      </c>
      <c r="Q484">
        <v>2.4300000000000002</v>
      </c>
      <c r="R484">
        <v>143.34</v>
      </c>
    </row>
    <row r="485" spans="1:18" x14ac:dyDescent="0.3">
      <c r="A485" t="s">
        <v>998</v>
      </c>
      <c r="B485" t="s">
        <v>999</v>
      </c>
      <c r="C485" t="s">
        <v>44</v>
      </c>
      <c r="D485" t="s">
        <v>57</v>
      </c>
      <c r="E485" t="s">
        <v>31</v>
      </c>
      <c r="F485" s="1">
        <v>45602</v>
      </c>
      <c r="G485" s="1">
        <v>45621</v>
      </c>
      <c r="H485">
        <v>342286</v>
      </c>
      <c r="I485">
        <v>12390</v>
      </c>
      <c r="J485">
        <v>297</v>
      </c>
      <c r="K485">
        <v>2747.94</v>
      </c>
      <c r="L485">
        <v>6995.07</v>
      </c>
      <c r="M485">
        <v>3.62</v>
      </c>
      <c r="N485">
        <v>2.4</v>
      </c>
      <c r="O485">
        <v>0.22</v>
      </c>
      <c r="P485">
        <v>9.25</v>
      </c>
      <c r="Q485">
        <v>2.5499999999999998</v>
      </c>
      <c r="R485">
        <v>154.56</v>
      </c>
    </row>
    <row r="486" spans="1:18" x14ac:dyDescent="0.3">
      <c r="A486" t="s">
        <v>1000</v>
      </c>
      <c r="B486" t="s">
        <v>1001</v>
      </c>
      <c r="C486" t="s">
        <v>37</v>
      </c>
      <c r="D486" t="s">
        <v>34</v>
      </c>
      <c r="E486" t="s">
        <v>22</v>
      </c>
      <c r="F486" s="1">
        <v>45332</v>
      </c>
      <c r="G486" s="1">
        <v>45363</v>
      </c>
      <c r="H486">
        <v>236179</v>
      </c>
      <c r="I486">
        <v>14052</v>
      </c>
      <c r="J486">
        <v>1840</v>
      </c>
      <c r="K486">
        <v>3986.35</v>
      </c>
      <c r="L486">
        <v>15989.99</v>
      </c>
      <c r="M486">
        <v>5.95</v>
      </c>
      <c r="N486">
        <v>13.1</v>
      </c>
      <c r="O486">
        <v>0.28000000000000003</v>
      </c>
      <c r="P486">
        <v>2.17</v>
      </c>
      <c r="Q486">
        <v>4.01</v>
      </c>
      <c r="R486">
        <v>301.12</v>
      </c>
    </row>
    <row r="487" spans="1:18" x14ac:dyDescent="0.3">
      <c r="A487" t="s">
        <v>1002</v>
      </c>
      <c r="B487" t="s">
        <v>1003</v>
      </c>
      <c r="C487" t="s">
        <v>37</v>
      </c>
      <c r="D487" t="s">
        <v>57</v>
      </c>
      <c r="E487" t="s">
        <v>38</v>
      </c>
      <c r="F487" s="1">
        <v>45507</v>
      </c>
      <c r="G487" s="1">
        <v>45550</v>
      </c>
      <c r="H487">
        <v>381199</v>
      </c>
      <c r="I487">
        <v>37128</v>
      </c>
      <c r="J487">
        <v>6192</v>
      </c>
      <c r="K487">
        <v>3382.61</v>
      </c>
      <c r="L487">
        <v>20899.63</v>
      </c>
      <c r="M487">
        <v>9.74</v>
      </c>
      <c r="N487">
        <v>16.68</v>
      </c>
      <c r="O487">
        <v>0.09</v>
      </c>
      <c r="P487">
        <v>0.55000000000000004</v>
      </c>
      <c r="Q487">
        <v>6.18</v>
      </c>
      <c r="R487">
        <v>517.86</v>
      </c>
    </row>
    <row r="488" spans="1:18" x14ac:dyDescent="0.3">
      <c r="A488" t="s">
        <v>1004</v>
      </c>
      <c r="B488" t="s">
        <v>1005</v>
      </c>
      <c r="C488" t="s">
        <v>25</v>
      </c>
      <c r="D488" t="s">
        <v>21</v>
      </c>
      <c r="E488" t="s">
        <v>26</v>
      </c>
      <c r="F488" s="1">
        <v>45601</v>
      </c>
      <c r="G488" s="1">
        <v>45633</v>
      </c>
      <c r="H488">
        <v>134934</v>
      </c>
      <c r="I488">
        <v>1862</v>
      </c>
      <c r="J488">
        <v>133</v>
      </c>
      <c r="K488">
        <v>14448.21</v>
      </c>
      <c r="L488">
        <v>75086.63</v>
      </c>
      <c r="M488">
        <v>1.38</v>
      </c>
      <c r="N488">
        <v>7.19</v>
      </c>
      <c r="O488">
        <v>7.76</v>
      </c>
      <c r="P488">
        <v>108.63</v>
      </c>
      <c r="Q488">
        <v>5.2</v>
      </c>
      <c r="R488">
        <v>419.7</v>
      </c>
    </row>
    <row r="489" spans="1:18" x14ac:dyDescent="0.3">
      <c r="A489" t="s">
        <v>1006</v>
      </c>
      <c r="B489" t="s">
        <v>1007</v>
      </c>
      <c r="C489" t="s">
        <v>44</v>
      </c>
      <c r="D489" t="s">
        <v>30</v>
      </c>
      <c r="E489" t="s">
        <v>22</v>
      </c>
      <c r="F489" s="1">
        <v>45303</v>
      </c>
      <c r="G489" s="1">
        <v>45318</v>
      </c>
      <c r="H489">
        <v>442112</v>
      </c>
      <c r="I489">
        <v>12069</v>
      </c>
      <c r="J489">
        <v>588</v>
      </c>
      <c r="K489">
        <v>7674.86</v>
      </c>
      <c r="L489">
        <v>21700.57</v>
      </c>
      <c r="M489">
        <v>2.73</v>
      </c>
      <c r="N489">
        <v>4.88</v>
      </c>
      <c r="O489">
        <v>0.64</v>
      </c>
      <c r="P489">
        <v>13.05</v>
      </c>
      <c r="Q489">
        <v>2.83</v>
      </c>
      <c r="R489">
        <v>182.75</v>
      </c>
    </row>
    <row r="490" spans="1:18" x14ac:dyDescent="0.3">
      <c r="A490" t="s">
        <v>1008</v>
      </c>
      <c r="B490" t="s">
        <v>1009</v>
      </c>
      <c r="C490" t="s">
        <v>29</v>
      </c>
      <c r="D490" t="s">
        <v>57</v>
      </c>
      <c r="E490" t="s">
        <v>26</v>
      </c>
      <c r="F490" s="1">
        <v>45572</v>
      </c>
      <c r="G490" s="1">
        <v>45582</v>
      </c>
      <c r="H490">
        <v>160400</v>
      </c>
      <c r="I490">
        <v>3208</v>
      </c>
      <c r="J490">
        <v>80</v>
      </c>
      <c r="K490">
        <v>3956.89</v>
      </c>
      <c r="L490">
        <v>23559.759999999998</v>
      </c>
      <c r="M490">
        <v>2</v>
      </c>
      <c r="N490">
        <v>2.52</v>
      </c>
      <c r="O490">
        <v>1.23</v>
      </c>
      <c r="P490">
        <v>49.46</v>
      </c>
      <c r="Q490">
        <v>5.95</v>
      </c>
      <c r="R490">
        <v>495.41</v>
      </c>
    </row>
    <row r="491" spans="1:18" x14ac:dyDescent="0.3">
      <c r="A491" t="s">
        <v>1010</v>
      </c>
      <c r="B491" t="s">
        <v>1011</v>
      </c>
      <c r="C491" t="s">
        <v>20</v>
      </c>
      <c r="D491" t="s">
        <v>30</v>
      </c>
      <c r="E491" t="s">
        <v>31</v>
      </c>
      <c r="F491" s="1">
        <v>45491</v>
      </c>
      <c r="G491" s="1">
        <v>45517</v>
      </c>
      <c r="H491">
        <v>451078</v>
      </c>
      <c r="I491">
        <v>29229</v>
      </c>
      <c r="J491">
        <v>1350</v>
      </c>
      <c r="K491">
        <v>17362.04</v>
      </c>
      <c r="L491">
        <v>41311.25</v>
      </c>
      <c r="M491">
        <v>6.48</v>
      </c>
      <c r="N491">
        <v>4.62</v>
      </c>
      <c r="O491">
        <v>0.59</v>
      </c>
      <c r="P491">
        <v>12.86</v>
      </c>
      <c r="Q491">
        <v>2.38</v>
      </c>
      <c r="R491">
        <v>137.94</v>
      </c>
    </row>
    <row r="492" spans="1:18" x14ac:dyDescent="0.3">
      <c r="A492" t="s">
        <v>1012</v>
      </c>
      <c r="B492" t="s">
        <v>1013</v>
      </c>
      <c r="C492" t="s">
        <v>29</v>
      </c>
      <c r="D492" t="s">
        <v>34</v>
      </c>
      <c r="E492" t="s">
        <v>22</v>
      </c>
      <c r="F492" s="1">
        <v>45474</v>
      </c>
      <c r="G492" s="1">
        <v>45501</v>
      </c>
      <c r="H492">
        <v>282343</v>
      </c>
      <c r="I492">
        <v>9543</v>
      </c>
      <c r="J492">
        <v>253</v>
      </c>
      <c r="K492">
        <v>15577.77</v>
      </c>
      <c r="L492">
        <v>33158.39</v>
      </c>
      <c r="M492">
        <v>3.38</v>
      </c>
      <c r="N492">
        <v>2.66</v>
      </c>
      <c r="O492">
        <v>1.63</v>
      </c>
      <c r="P492">
        <v>61.57</v>
      </c>
      <c r="Q492">
        <v>2.13</v>
      </c>
      <c r="R492">
        <v>112.86</v>
      </c>
    </row>
    <row r="493" spans="1:18" x14ac:dyDescent="0.3">
      <c r="A493" t="s">
        <v>1014</v>
      </c>
      <c r="B493" t="s">
        <v>1015</v>
      </c>
      <c r="C493" t="s">
        <v>25</v>
      </c>
      <c r="D493" t="s">
        <v>30</v>
      </c>
      <c r="E493" t="s">
        <v>31</v>
      </c>
      <c r="F493" s="1">
        <v>45594</v>
      </c>
      <c r="G493" s="1">
        <v>45639</v>
      </c>
      <c r="H493">
        <v>192823</v>
      </c>
      <c r="I493">
        <v>3335</v>
      </c>
      <c r="J493">
        <v>198</v>
      </c>
      <c r="K493">
        <v>19175.78</v>
      </c>
      <c r="L493">
        <v>84887.23</v>
      </c>
      <c r="M493">
        <v>1.73</v>
      </c>
      <c r="N493">
        <v>5.95</v>
      </c>
      <c r="O493">
        <v>5.75</v>
      </c>
      <c r="P493">
        <v>96.85</v>
      </c>
      <c r="Q493">
        <v>4.43</v>
      </c>
      <c r="R493">
        <v>342.68</v>
      </c>
    </row>
    <row r="494" spans="1:18" x14ac:dyDescent="0.3">
      <c r="A494" t="s">
        <v>1016</v>
      </c>
      <c r="B494" t="s">
        <v>1017</v>
      </c>
      <c r="C494" t="s">
        <v>25</v>
      </c>
      <c r="D494" t="s">
        <v>30</v>
      </c>
      <c r="E494" t="s">
        <v>31</v>
      </c>
      <c r="F494" s="1">
        <v>45337</v>
      </c>
      <c r="G494" s="1">
        <v>45372</v>
      </c>
      <c r="H494">
        <v>385432</v>
      </c>
      <c r="I494">
        <v>7284</v>
      </c>
      <c r="J494">
        <v>522</v>
      </c>
      <c r="K494">
        <v>9554.69</v>
      </c>
      <c r="L494">
        <v>42313.01</v>
      </c>
      <c r="M494">
        <v>1.89</v>
      </c>
      <c r="N494">
        <v>7.17</v>
      </c>
      <c r="O494">
        <v>1.31</v>
      </c>
      <c r="P494">
        <v>18.3</v>
      </c>
      <c r="Q494">
        <v>4.43</v>
      </c>
      <c r="R494">
        <v>342.85</v>
      </c>
    </row>
    <row r="495" spans="1:18" x14ac:dyDescent="0.3">
      <c r="A495" t="s">
        <v>1018</v>
      </c>
      <c r="B495" t="s">
        <v>1019</v>
      </c>
      <c r="C495" t="s">
        <v>44</v>
      </c>
      <c r="D495" t="s">
        <v>57</v>
      </c>
      <c r="E495" t="s">
        <v>38</v>
      </c>
      <c r="F495" s="1">
        <v>45361</v>
      </c>
      <c r="G495" s="1">
        <v>45390</v>
      </c>
      <c r="H495">
        <v>186213</v>
      </c>
      <c r="I495">
        <v>2979</v>
      </c>
      <c r="J495">
        <v>45</v>
      </c>
      <c r="K495">
        <v>9041.4500000000007</v>
      </c>
      <c r="L495">
        <v>48935.23</v>
      </c>
      <c r="M495">
        <v>1.6</v>
      </c>
      <c r="N495">
        <v>1.54</v>
      </c>
      <c r="O495">
        <v>3.04</v>
      </c>
      <c r="P495">
        <v>200.92</v>
      </c>
      <c r="Q495">
        <v>5.41</v>
      </c>
      <c r="R495">
        <v>441.23</v>
      </c>
    </row>
    <row r="496" spans="1:18" x14ac:dyDescent="0.3">
      <c r="A496" t="s">
        <v>1020</v>
      </c>
      <c r="B496" t="s">
        <v>1021</v>
      </c>
      <c r="C496" t="s">
        <v>44</v>
      </c>
      <c r="D496" t="s">
        <v>30</v>
      </c>
      <c r="E496" t="s">
        <v>31</v>
      </c>
      <c r="F496" s="1">
        <v>45512</v>
      </c>
      <c r="G496" s="1">
        <v>45537</v>
      </c>
      <c r="H496">
        <v>54360</v>
      </c>
      <c r="I496">
        <v>1625</v>
      </c>
      <c r="J496">
        <v>52</v>
      </c>
      <c r="K496">
        <v>11943.41</v>
      </c>
      <c r="L496">
        <v>39989.49</v>
      </c>
      <c r="M496">
        <v>2.99</v>
      </c>
      <c r="N496">
        <v>3.22</v>
      </c>
      <c r="O496">
        <v>7.35</v>
      </c>
      <c r="P496">
        <v>229.68</v>
      </c>
      <c r="Q496">
        <v>3.35</v>
      </c>
      <c r="R496">
        <v>234.82</v>
      </c>
    </row>
    <row r="497" spans="1:18" x14ac:dyDescent="0.3">
      <c r="A497" t="s">
        <v>1022</v>
      </c>
      <c r="B497" t="s">
        <v>1023</v>
      </c>
      <c r="C497" t="s">
        <v>37</v>
      </c>
      <c r="D497" t="s">
        <v>34</v>
      </c>
      <c r="E497" t="s">
        <v>26</v>
      </c>
      <c r="F497" s="1">
        <v>45375</v>
      </c>
      <c r="G497" s="1">
        <v>45406</v>
      </c>
      <c r="H497">
        <v>337421</v>
      </c>
      <c r="I497">
        <v>21055</v>
      </c>
      <c r="J497">
        <v>2551</v>
      </c>
      <c r="K497">
        <v>3022.49</v>
      </c>
      <c r="L497">
        <v>11414.08</v>
      </c>
      <c r="M497">
        <v>6.24</v>
      </c>
      <c r="N497">
        <v>12.12</v>
      </c>
      <c r="O497">
        <v>0.14000000000000001</v>
      </c>
      <c r="P497">
        <v>1.18</v>
      </c>
      <c r="Q497">
        <v>3.78</v>
      </c>
      <c r="R497">
        <v>277.64</v>
      </c>
    </row>
    <row r="498" spans="1:18" x14ac:dyDescent="0.3">
      <c r="A498" t="s">
        <v>1024</v>
      </c>
      <c r="B498" t="s">
        <v>1025</v>
      </c>
      <c r="C498" t="s">
        <v>25</v>
      </c>
      <c r="D498" t="s">
        <v>34</v>
      </c>
      <c r="E498" t="s">
        <v>22</v>
      </c>
      <c r="F498" s="1">
        <v>45431</v>
      </c>
      <c r="G498" s="1">
        <v>45456</v>
      </c>
      <c r="H498">
        <v>91528</v>
      </c>
      <c r="I498">
        <v>1391</v>
      </c>
      <c r="J498">
        <v>92</v>
      </c>
      <c r="K498">
        <v>16232.61</v>
      </c>
      <c r="L498">
        <v>98934.43</v>
      </c>
      <c r="M498">
        <v>1.52</v>
      </c>
      <c r="N498">
        <v>6.68</v>
      </c>
      <c r="O498">
        <v>11.67</v>
      </c>
      <c r="P498">
        <v>176.44</v>
      </c>
      <c r="Q498">
        <v>6.09</v>
      </c>
      <c r="R498">
        <v>509.48</v>
      </c>
    </row>
    <row r="499" spans="1:18" x14ac:dyDescent="0.3">
      <c r="A499" t="s">
        <v>1026</v>
      </c>
      <c r="B499" t="s">
        <v>1027</v>
      </c>
      <c r="C499" t="s">
        <v>37</v>
      </c>
      <c r="D499" t="s">
        <v>57</v>
      </c>
      <c r="E499" t="s">
        <v>38</v>
      </c>
      <c r="F499" s="1">
        <v>45608</v>
      </c>
      <c r="G499" s="1">
        <v>45643</v>
      </c>
      <c r="H499">
        <v>148566</v>
      </c>
      <c r="I499">
        <v>13549</v>
      </c>
      <c r="J499">
        <v>1330</v>
      </c>
      <c r="K499">
        <v>1803.18</v>
      </c>
      <c r="L499">
        <v>8774.2999999999993</v>
      </c>
      <c r="M499">
        <v>9.1199999999999992</v>
      </c>
      <c r="N499">
        <v>9.82</v>
      </c>
      <c r="O499">
        <v>0.13</v>
      </c>
      <c r="P499">
        <v>1.36</v>
      </c>
      <c r="Q499">
        <v>4.87</v>
      </c>
      <c r="R499">
        <v>386.6</v>
      </c>
    </row>
    <row r="500" spans="1:18" x14ac:dyDescent="0.3">
      <c r="A500" t="s">
        <v>1028</v>
      </c>
      <c r="B500" t="s">
        <v>1029</v>
      </c>
      <c r="C500" t="s">
        <v>44</v>
      </c>
      <c r="D500" t="s">
        <v>30</v>
      </c>
      <c r="E500" t="s">
        <v>41</v>
      </c>
      <c r="F500" s="1">
        <v>45344</v>
      </c>
      <c r="G500" s="1">
        <v>45369</v>
      </c>
      <c r="H500">
        <v>218109</v>
      </c>
      <c r="I500">
        <v>2726</v>
      </c>
      <c r="J500">
        <v>45</v>
      </c>
      <c r="K500">
        <v>9187.1299999999992</v>
      </c>
      <c r="L500">
        <v>26061.31</v>
      </c>
      <c r="M500">
        <v>1.25</v>
      </c>
      <c r="N500">
        <v>1.67</v>
      </c>
      <c r="O500">
        <v>3.37</v>
      </c>
      <c r="P500">
        <v>204.16</v>
      </c>
      <c r="Q500">
        <v>2.84</v>
      </c>
      <c r="R500">
        <v>183.67</v>
      </c>
    </row>
    <row r="501" spans="1:18" x14ac:dyDescent="0.3">
      <c r="A501" t="s">
        <v>1030</v>
      </c>
      <c r="B501" t="s">
        <v>1031</v>
      </c>
      <c r="C501" t="s">
        <v>44</v>
      </c>
      <c r="D501" t="s">
        <v>34</v>
      </c>
      <c r="E501" t="s">
        <v>38</v>
      </c>
      <c r="F501" s="1">
        <v>45507</v>
      </c>
      <c r="G501" s="1">
        <v>45533</v>
      </c>
      <c r="H501">
        <v>431213</v>
      </c>
      <c r="I501">
        <v>5260</v>
      </c>
      <c r="J501">
        <v>95</v>
      </c>
      <c r="K501">
        <v>2684.06</v>
      </c>
      <c r="L501">
        <v>7991.38</v>
      </c>
      <c r="M501">
        <v>1.22</v>
      </c>
      <c r="N501">
        <v>1.82</v>
      </c>
      <c r="O501">
        <v>0.51</v>
      </c>
      <c r="P501">
        <v>28.25</v>
      </c>
      <c r="Q501">
        <v>2.98</v>
      </c>
      <c r="R501">
        <v>197.73</v>
      </c>
    </row>
    <row r="502" spans="1:18" x14ac:dyDescent="0.3">
      <c r="A502" t="s">
        <v>1032</v>
      </c>
      <c r="B502" t="s">
        <v>1033</v>
      </c>
      <c r="C502" t="s">
        <v>25</v>
      </c>
      <c r="D502" t="s">
        <v>57</v>
      </c>
      <c r="E502" t="s">
        <v>38</v>
      </c>
      <c r="F502" s="1">
        <v>45320</v>
      </c>
      <c r="G502" s="1">
        <v>45344</v>
      </c>
      <c r="H502">
        <v>415394</v>
      </c>
      <c r="I502">
        <v>8930</v>
      </c>
      <c r="J502">
        <v>652</v>
      </c>
      <c r="K502">
        <v>17496.740000000002</v>
      </c>
      <c r="L502">
        <v>109921.49</v>
      </c>
      <c r="M502">
        <v>2.15</v>
      </c>
      <c r="N502">
        <v>7.31</v>
      </c>
      <c r="O502">
        <v>1.96</v>
      </c>
      <c r="P502">
        <v>26.84</v>
      </c>
      <c r="Q502">
        <v>6.28</v>
      </c>
      <c r="R502">
        <v>528.24</v>
      </c>
    </row>
    <row r="503" spans="1:18" x14ac:dyDescent="0.3">
      <c r="A503" t="s">
        <v>1034</v>
      </c>
      <c r="B503" t="s">
        <v>1035</v>
      </c>
      <c r="C503" t="s">
        <v>25</v>
      </c>
      <c r="D503" t="s">
        <v>21</v>
      </c>
      <c r="E503" t="s">
        <v>31</v>
      </c>
      <c r="F503" s="1">
        <v>45298</v>
      </c>
      <c r="G503" s="1">
        <v>45312</v>
      </c>
      <c r="H503">
        <v>296492</v>
      </c>
      <c r="I503">
        <v>3291</v>
      </c>
      <c r="J503">
        <v>370</v>
      </c>
      <c r="K503">
        <v>8001.27</v>
      </c>
      <c r="L503">
        <v>29741.51</v>
      </c>
      <c r="M503">
        <v>1.1100000000000001</v>
      </c>
      <c r="N503">
        <v>11.27</v>
      </c>
      <c r="O503">
        <v>2.4300000000000002</v>
      </c>
      <c r="P503">
        <v>21.63</v>
      </c>
      <c r="Q503">
        <v>3.72</v>
      </c>
      <c r="R503">
        <v>271.70999999999998</v>
      </c>
    </row>
    <row r="504" spans="1:18" x14ac:dyDescent="0.3">
      <c r="A504" t="s">
        <v>1036</v>
      </c>
      <c r="B504" t="s">
        <v>1037</v>
      </c>
      <c r="C504" t="s">
        <v>29</v>
      </c>
      <c r="D504" t="s">
        <v>30</v>
      </c>
      <c r="E504" t="s">
        <v>38</v>
      </c>
      <c r="F504" s="1">
        <v>45558</v>
      </c>
      <c r="G504" s="1">
        <v>45578</v>
      </c>
      <c r="H504">
        <v>179584</v>
      </c>
      <c r="I504">
        <v>6662</v>
      </c>
      <c r="J504">
        <v>144</v>
      </c>
      <c r="K504">
        <v>9912.52</v>
      </c>
      <c r="L504">
        <v>54216.35</v>
      </c>
      <c r="M504">
        <v>3.71</v>
      </c>
      <c r="N504">
        <v>2.17</v>
      </c>
      <c r="O504">
        <v>1.49</v>
      </c>
      <c r="P504">
        <v>68.84</v>
      </c>
      <c r="Q504">
        <v>5.47</v>
      </c>
      <c r="R504">
        <v>446.95</v>
      </c>
    </row>
    <row r="505" spans="1:18" x14ac:dyDescent="0.3">
      <c r="A505" t="s">
        <v>1038</v>
      </c>
      <c r="B505" t="s">
        <v>1039</v>
      </c>
      <c r="C505" t="s">
        <v>25</v>
      </c>
      <c r="D505" t="s">
        <v>30</v>
      </c>
      <c r="E505" t="s">
        <v>22</v>
      </c>
      <c r="F505" s="1">
        <v>45354</v>
      </c>
      <c r="G505" s="1">
        <v>45377</v>
      </c>
      <c r="H505">
        <v>219378</v>
      </c>
      <c r="I505">
        <v>2347</v>
      </c>
      <c r="J505">
        <v>237</v>
      </c>
      <c r="K505">
        <v>15915.59</v>
      </c>
      <c r="L505">
        <v>71192.179999999993</v>
      </c>
      <c r="M505">
        <v>1.07</v>
      </c>
      <c r="N505">
        <v>10.1</v>
      </c>
      <c r="O505">
        <v>6.78</v>
      </c>
      <c r="P505">
        <v>67.150000000000006</v>
      </c>
      <c r="Q505">
        <v>4.47</v>
      </c>
      <c r="R505">
        <v>347.31</v>
      </c>
    </row>
    <row r="506" spans="1:18" x14ac:dyDescent="0.3">
      <c r="A506" t="s">
        <v>1040</v>
      </c>
      <c r="B506" t="s">
        <v>1041</v>
      </c>
      <c r="C506" t="s">
        <v>25</v>
      </c>
      <c r="D506" t="s">
        <v>57</v>
      </c>
      <c r="E506" t="s">
        <v>41</v>
      </c>
      <c r="F506" s="1">
        <v>45616</v>
      </c>
      <c r="G506" s="1">
        <v>45650</v>
      </c>
      <c r="H506">
        <v>238967</v>
      </c>
      <c r="I506">
        <v>5520</v>
      </c>
      <c r="J506">
        <v>609</v>
      </c>
      <c r="K506">
        <v>7484.61</v>
      </c>
      <c r="L506">
        <v>18772.73</v>
      </c>
      <c r="M506">
        <v>2.31</v>
      </c>
      <c r="N506">
        <v>11.05</v>
      </c>
      <c r="O506">
        <v>1.36</v>
      </c>
      <c r="P506">
        <v>12.29</v>
      </c>
      <c r="Q506">
        <v>2.5099999999999998</v>
      </c>
      <c r="R506">
        <v>150.82</v>
      </c>
    </row>
    <row r="507" spans="1:18" x14ac:dyDescent="0.3">
      <c r="A507" t="s">
        <v>1042</v>
      </c>
      <c r="B507" t="s">
        <v>1043</v>
      </c>
      <c r="C507" t="s">
        <v>44</v>
      </c>
      <c r="D507" t="s">
        <v>21</v>
      </c>
      <c r="E507" t="s">
        <v>41</v>
      </c>
      <c r="F507" s="1">
        <v>45313</v>
      </c>
      <c r="G507" s="1">
        <v>45357</v>
      </c>
      <c r="H507">
        <v>466489</v>
      </c>
      <c r="I507">
        <v>8956</v>
      </c>
      <c r="J507">
        <v>171</v>
      </c>
      <c r="K507">
        <v>12364.3</v>
      </c>
      <c r="L507">
        <v>25225.45</v>
      </c>
      <c r="M507">
        <v>1.92</v>
      </c>
      <c r="N507">
        <v>1.92</v>
      </c>
      <c r="O507">
        <v>1.38</v>
      </c>
      <c r="P507">
        <v>72.31</v>
      </c>
      <c r="Q507">
        <v>2.04</v>
      </c>
      <c r="R507">
        <v>104.02</v>
      </c>
    </row>
    <row r="508" spans="1:18" x14ac:dyDescent="0.3">
      <c r="A508" t="s">
        <v>1044</v>
      </c>
      <c r="B508" t="s">
        <v>1045</v>
      </c>
      <c r="C508" t="s">
        <v>25</v>
      </c>
      <c r="D508" t="s">
        <v>34</v>
      </c>
      <c r="E508" t="s">
        <v>22</v>
      </c>
      <c r="F508" s="1">
        <v>45612</v>
      </c>
      <c r="G508" s="1">
        <v>45622</v>
      </c>
      <c r="H508">
        <v>454119</v>
      </c>
      <c r="I508">
        <v>4314</v>
      </c>
      <c r="J508">
        <v>263</v>
      </c>
      <c r="K508">
        <v>5462.42</v>
      </c>
      <c r="L508">
        <v>26131.68</v>
      </c>
      <c r="M508">
        <v>0.95</v>
      </c>
      <c r="N508">
        <v>6.1</v>
      </c>
      <c r="O508">
        <v>1.27</v>
      </c>
      <c r="P508">
        <v>20.77</v>
      </c>
      <c r="Q508">
        <v>4.78</v>
      </c>
      <c r="R508">
        <v>378.39</v>
      </c>
    </row>
    <row r="509" spans="1:18" x14ac:dyDescent="0.3">
      <c r="A509" t="s">
        <v>1046</v>
      </c>
      <c r="B509" t="s">
        <v>1047</v>
      </c>
      <c r="C509" t="s">
        <v>20</v>
      </c>
      <c r="D509" t="s">
        <v>57</v>
      </c>
      <c r="E509" t="s">
        <v>41</v>
      </c>
      <c r="F509" s="1">
        <v>45577</v>
      </c>
      <c r="G509" s="1">
        <v>45606</v>
      </c>
      <c r="H509">
        <v>417697</v>
      </c>
      <c r="I509">
        <v>19422</v>
      </c>
      <c r="J509">
        <v>901</v>
      </c>
      <c r="K509">
        <v>14756.86</v>
      </c>
      <c r="L509">
        <v>50547.09</v>
      </c>
      <c r="M509">
        <v>4.6500000000000004</v>
      </c>
      <c r="N509">
        <v>4.6399999999999997</v>
      </c>
      <c r="O509">
        <v>0.76</v>
      </c>
      <c r="P509">
        <v>16.38</v>
      </c>
      <c r="Q509">
        <v>3.43</v>
      </c>
      <c r="R509">
        <v>242.53</v>
      </c>
    </row>
    <row r="510" spans="1:18" x14ac:dyDescent="0.3">
      <c r="A510" t="s">
        <v>1048</v>
      </c>
      <c r="B510" t="s">
        <v>1049</v>
      </c>
      <c r="C510" t="s">
        <v>25</v>
      </c>
      <c r="D510" t="s">
        <v>34</v>
      </c>
      <c r="E510" t="s">
        <v>26</v>
      </c>
      <c r="F510" s="1">
        <v>45516</v>
      </c>
      <c r="G510" s="1">
        <v>45558</v>
      </c>
      <c r="H510">
        <v>411365</v>
      </c>
      <c r="I510">
        <v>5923</v>
      </c>
      <c r="J510">
        <v>596</v>
      </c>
      <c r="K510">
        <v>8011.14</v>
      </c>
      <c r="L510">
        <v>17445.849999999999</v>
      </c>
      <c r="M510">
        <v>1.44</v>
      </c>
      <c r="N510">
        <v>10.07</v>
      </c>
      <c r="O510">
        <v>1.35</v>
      </c>
      <c r="P510">
        <v>13.44</v>
      </c>
      <c r="Q510">
        <v>2.1800000000000002</v>
      </c>
      <c r="R510">
        <v>117.77</v>
      </c>
    </row>
    <row r="511" spans="1:18" x14ac:dyDescent="0.3">
      <c r="A511" t="s">
        <v>1050</v>
      </c>
      <c r="B511" t="s">
        <v>1051</v>
      </c>
      <c r="C511" t="s">
        <v>44</v>
      </c>
      <c r="D511" t="s">
        <v>30</v>
      </c>
      <c r="E511" t="s">
        <v>41</v>
      </c>
      <c r="F511" s="1">
        <v>45598</v>
      </c>
      <c r="G511" s="1">
        <v>45640</v>
      </c>
      <c r="H511">
        <v>347114</v>
      </c>
      <c r="I511">
        <v>5866</v>
      </c>
      <c r="J511">
        <v>159</v>
      </c>
      <c r="K511">
        <v>11655.03</v>
      </c>
      <c r="L511">
        <v>37750.18</v>
      </c>
      <c r="M511">
        <v>1.69</v>
      </c>
      <c r="N511">
        <v>2.72</v>
      </c>
      <c r="O511">
        <v>1.99</v>
      </c>
      <c r="P511">
        <v>73.3</v>
      </c>
      <c r="Q511">
        <v>3.24</v>
      </c>
      <c r="R511">
        <v>223.9</v>
      </c>
    </row>
    <row r="512" spans="1:18" x14ac:dyDescent="0.3">
      <c r="A512" t="s">
        <v>1052</v>
      </c>
      <c r="B512" t="s">
        <v>1053</v>
      </c>
      <c r="C512" t="s">
        <v>29</v>
      </c>
      <c r="D512" t="s">
        <v>21</v>
      </c>
      <c r="E512" t="s">
        <v>31</v>
      </c>
      <c r="F512" s="1">
        <v>45618</v>
      </c>
      <c r="G512" s="1">
        <v>45657</v>
      </c>
      <c r="H512">
        <v>131277</v>
      </c>
      <c r="I512">
        <v>3741</v>
      </c>
      <c r="J512">
        <v>228</v>
      </c>
      <c r="K512">
        <v>11124.09</v>
      </c>
      <c r="L512">
        <v>44978.65</v>
      </c>
      <c r="M512">
        <v>2.85</v>
      </c>
      <c r="N512">
        <v>6.1</v>
      </c>
      <c r="O512">
        <v>2.97</v>
      </c>
      <c r="P512">
        <v>48.79</v>
      </c>
      <c r="Q512">
        <v>4.04</v>
      </c>
      <c r="R512">
        <v>304.33999999999997</v>
      </c>
    </row>
    <row r="513" spans="1:18" x14ac:dyDescent="0.3">
      <c r="A513" t="s">
        <v>1054</v>
      </c>
      <c r="B513" t="s">
        <v>1055</v>
      </c>
      <c r="C513" t="s">
        <v>25</v>
      </c>
      <c r="D513" t="s">
        <v>34</v>
      </c>
      <c r="E513" t="s">
        <v>26</v>
      </c>
      <c r="F513" s="1">
        <v>45567</v>
      </c>
      <c r="G513" s="1">
        <v>45598</v>
      </c>
      <c r="H513">
        <v>374919</v>
      </c>
      <c r="I513">
        <v>8473</v>
      </c>
      <c r="J513">
        <v>883</v>
      </c>
      <c r="K513">
        <v>7820.58</v>
      </c>
      <c r="L513">
        <v>41015.160000000003</v>
      </c>
      <c r="M513">
        <v>2.2599999999999998</v>
      </c>
      <c r="N513">
        <v>10.43</v>
      </c>
      <c r="O513">
        <v>0.92</v>
      </c>
      <c r="P513">
        <v>8.86</v>
      </c>
      <c r="Q513">
        <v>5.24</v>
      </c>
      <c r="R513">
        <v>424.45</v>
      </c>
    </row>
    <row r="514" spans="1:18" x14ac:dyDescent="0.3">
      <c r="A514" t="s">
        <v>1056</v>
      </c>
      <c r="B514" t="s">
        <v>1057</v>
      </c>
      <c r="C514" t="s">
        <v>29</v>
      </c>
      <c r="D514" t="s">
        <v>30</v>
      </c>
      <c r="E514" t="s">
        <v>31</v>
      </c>
      <c r="F514" s="1">
        <v>45559</v>
      </c>
      <c r="G514" s="1">
        <v>45570</v>
      </c>
      <c r="H514">
        <v>130809</v>
      </c>
      <c r="I514">
        <v>4369</v>
      </c>
      <c r="J514">
        <v>157</v>
      </c>
      <c r="K514">
        <v>12613.56</v>
      </c>
      <c r="L514">
        <v>31497.18</v>
      </c>
      <c r="M514">
        <v>3.34</v>
      </c>
      <c r="N514">
        <v>3.61</v>
      </c>
      <c r="O514">
        <v>2.89</v>
      </c>
      <c r="P514">
        <v>80.34</v>
      </c>
      <c r="Q514">
        <v>2.5</v>
      </c>
      <c r="R514">
        <v>149.71</v>
      </c>
    </row>
    <row r="515" spans="1:18" x14ac:dyDescent="0.3">
      <c r="A515" t="s">
        <v>1058</v>
      </c>
      <c r="B515" t="s">
        <v>1059</v>
      </c>
      <c r="C515" t="s">
        <v>20</v>
      </c>
      <c r="D515" t="s">
        <v>34</v>
      </c>
      <c r="E515" t="s">
        <v>41</v>
      </c>
      <c r="F515" s="1">
        <v>45490</v>
      </c>
      <c r="G515" s="1">
        <v>45528</v>
      </c>
      <c r="H515">
        <v>66396</v>
      </c>
      <c r="I515">
        <v>2197</v>
      </c>
      <c r="J515">
        <v>151</v>
      </c>
      <c r="K515">
        <v>6975.07</v>
      </c>
      <c r="L515">
        <v>31872.959999999999</v>
      </c>
      <c r="M515">
        <v>3.31</v>
      </c>
      <c r="N515">
        <v>6.91</v>
      </c>
      <c r="O515">
        <v>3.17</v>
      </c>
      <c r="P515">
        <v>46.19</v>
      </c>
      <c r="Q515">
        <v>4.57</v>
      </c>
      <c r="R515">
        <v>356.96</v>
      </c>
    </row>
    <row r="516" spans="1:18" x14ac:dyDescent="0.3">
      <c r="A516" t="s">
        <v>1060</v>
      </c>
      <c r="B516" t="s">
        <v>1061</v>
      </c>
      <c r="C516" t="s">
        <v>37</v>
      </c>
      <c r="D516" t="s">
        <v>57</v>
      </c>
      <c r="E516" t="s">
        <v>26</v>
      </c>
      <c r="F516" s="1">
        <v>45543</v>
      </c>
      <c r="G516" s="1">
        <v>45555</v>
      </c>
      <c r="H516">
        <v>242075</v>
      </c>
      <c r="I516">
        <v>12878</v>
      </c>
      <c r="J516">
        <v>1954</v>
      </c>
      <c r="K516">
        <v>558.89</v>
      </c>
      <c r="L516">
        <v>3434.19</v>
      </c>
      <c r="M516">
        <v>5.32</v>
      </c>
      <c r="N516">
        <v>15.18</v>
      </c>
      <c r="O516">
        <v>0.04</v>
      </c>
      <c r="P516">
        <v>0.28999999999999998</v>
      </c>
      <c r="Q516">
        <v>6.14</v>
      </c>
      <c r="R516">
        <v>514.47</v>
      </c>
    </row>
    <row r="517" spans="1:18" x14ac:dyDescent="0.3">
      <c r="A517" t="s">
        <v>1062</v>
      </c>
      <c r="B517" t="s">
        <v>1063</v>
      </c>
      <c r="C517" t="s">
        <v>25</v>
      </c>
      <c r="D517" t="s">
        <v>21</v>
      </c>
      <c r="E517" t="s">
        <v>22</v>
      </c>
      <c r="F517" s="1">
        <v>45321</v>
      </c>
      <c r="G517" s="1">
        <v>45345</v>
      </c>
      <c r="H517">
        <v>342563</v>
      </c>
      <c r="I517">
        <v>7056</v>
      </c>
      <c r="J517">
        <v>792</v>
      </c>
      <c r="K517">
        <v>17152.419999999998</v>
      </c>
      <c r="L517">
        <v>95609.7</v>
      </c>
      <c r="M517">
        <v>2.06</v>
      </c>
      <c r="N517">
        <v>11.23</v>
      </c>
      <c r="O517">
        <v>2.4300000000000002</v>
      </c>
      <c r="P517">
        <v>21.66</v>
      </c>
      <c r="Q517">
        <v>5.57</v>
      </c>
      <c r="R517">
        <v>457.41</v>
      </c>
    </row>
    <row r="518" spans="1:18" x14ac:dyDescent="0.3">
      <c r="A518" t="s">
        <v>1064</v>
      </c>
      <c r="B518" t="s">
        <v>1065</v>
      </c>
      <c r="C518" t="s">
        <v>37</v>
      </c>
      <c r="D518" t="s">
        <v>21</v>
      </c>
      <c r="E518" t="s">
        <v>26</v>
      </c>
      <c r="F518" s="1">
        <v>45410</v>
      </c>
      <c r="G518" s="1">
        <v>45451</v>
      </c>
      <c r="H518">
        <v>487495</v>
      </c>
      <c r="I518">
        <v>28372</v>
      </c>
      <c r="J518">
        <v>4950</v>
      </c>
      <c r="K518">
        <v>4822.6400000000003</v>
      </c>
      <c r="L518">
        <v>11752.95</v>
      </c>
      <c r="M518">
        <v>5.82</v>
      </c>
      <c r="N518">
        <v>17.45</v>
      </c>
      <c r="O518">
        <v>0.17</v>
      </c>
      <c r="P518">
        <v>0.97</v>
      </c>
      <c r="Q518">
        <v>2.44</v>
      </c>
      <c r="R518">
        <v>143.69999999999999</v>
      </c>
    </row>
    <row r="519" spans="1:18" x14ac:dyDescent="0.3">
      <c r="A519" t="s">
        <v>1066</v>
      </c>
      <c r="B519" t="s">
        <v>1067</v>
      </c>
      <c r="C519" t="s">
        <v>25</v>
      </c>
      <c r="D519" t="s">
        <v>34</v>
      </c>
      <c r="E519" t="s">
        <v>41</v>
      </c>
      <c r="F519" s="1">
        <v>45577</v>
      </c>
      <c r="G519" s="1">
        <v>45610</v>
      </c>
      <c r="H519">
        <v>325876</v>
      </c>
      <c r="I519">
        <v>6256</v>
      </c>
      <c r="J519">
        <v>562</v>
      </c>
      <c r="K519">
        <v>19160.05</v>
      </c>
      <c r="L519">
        <v>86467.5</v>
      </c>
      <c r="M519">
        <v>1.92</v>
      </c>
      <c r="N519">
        <v>8.99</v>
      </c>
      <c r="O519">
        <v>3.06</v>
      </c>
      <c r="P519">
        <v>34.090000000000003</v>
      </c>
      <c r="Q519">
        <v>4.51</v>
      </c>
      <c r="R519">
        <v>351.29</v>
      </c>
    </row>
    <row r="520" spans="1:18" x14ac:dyDescent="0.3">
      <c r="A520" t="s">
        <v>1068</v>
      </c>
      <c r="B520" t="s">
        <v>1069</v>
      </c>
      <c r="C520" t="s">
        <v>20</v>
      </c>
      <c r="D520" t="s">
        <v>57</v>
      </c>
      <c r="E520" t="s">
        <v>38</v>
      </c>
      <c r="F520" s="1">
        <v>45497</v>
      </c>
      <c r="G520" s="1">
        <v>45536</v>
      </c>
      <c r="H520">
        <v>418338</v>
      </c>
      <c r="I520">
        <v>21586</v>
      </c>
      <c r="J520">
        <v>2007</v>
      </c>
      <c r="K520">
        <v>8336.19</v>
      </c>
      <c r="L520">
        <v>23439.57</v>
      </c>
      <c r="M520">
        <v>5.16</v>
      </c>
      <c r="N520">
        <v>9.3000000000000007</v>
      </c>
      <c r="O520">
        <v>0.39</v>
      </c>
      <c r="P520">
        <v>4.1500000000000004</v>
      </c>
      <c r="Q520">
        <v>2.81</v>
      </c>
      <c r="R520">
        <v>181.18</v>
      </c>
    </row>
    <row r="521" spans="1:18" x14ac:dyDescent="0.3">
      <c r="A521" t="s">
        <v>1070</v>
      </c>
      <c r="B521" t="s">
        <v>1071</v>
      </c>
      <c r="C521" t="s">
        <v>44</v>
      </c>
      <c r="D521" t="s">
        <v>34</v>
      </c>
      <c r="E521" t="s">
        <v>31</v>
      </c>
      <c r="F521" s="1">
        <v>45458</v>
      </c>
      <c r="G521" s="1">
        <v>45488</v>
      </c>
      <c r="H521">
        <v>364528</v>
      </c>
      <c r="I521">
        <v>8566</v>
      </c>
      <c r="J521">
        <v>233</v>
      </c>
      <c r="K521">
        <v>6439.44</v>
      </c>
      <c r="L521">
        <v>41608.980000000003</v>
      </c>
      <c r="M521">
        <v>2.35</v>
      </c>
      <c r="N521">
        <v>2.73</v>
      </c>
      <c r="O521">
        <v>0.75</v>
      </c>
      <c r="P521">
        <v>27.64</v>
      </c>
      <c r="Q521">
        <v>6.46</v>
      </c>
      <c r="R521">
        <v>546.16</v>
      </c>
    </row>
    <row r="522" spans="1:18" x14ac:dyDescent="0.3">
      <c r="A522" t="s">
        <v>1072</v>
      </c>
      <c r="B522" t="s">
        <v>1073</v>
      </c>
      <c r="C522" t="s">
        <v>25</v>
      </c>
      <c r="D522" t="s">
        <v>30</v>
      </c>
      <c r="E522" t="s">
        <v>22</v>
      </c>
      <c r="F522" s="1">
        <v>45422</v>
      </c>
      <c r="G522" s="1">
        <v>45452</v>
      </c>
      <c r="H522">
        <v>368983</v>
      </c>
      <c r="I522">
        <v>4464</v>
      </c>
      <c r="J522">
        <v>393</v>
      </c>
      <c r="K522">
        <v>10001.01</v>
      </c>
      <c r="L522">
        <v>44765.26</v>
      </c>
      <c r="M522">
        <v>1.21</v>
      </c>
      <c r="N522">
        <v>8.82</v>
      </c>
      <c r="O522">
        <v>2.2400000000000002</v>
      </c>
      <c r="P522">
        <v>25.45</v>
      </c>
      <c r="Q522">
        <v>4.4800000000000004</v>
      </c>
      <c r="R522">
        <v>347.61</v>
      </c>
    </row>
    <row r="523" spans="1:18" x14ac:dyDescent="0.3">
      <c r="A523" t="s">
        <v>1074</v>
      </c>
      <c r="B523" t="s">
        <v>1075</v>
      </c>
      <c r="C523" t="s">
        <v>25</v>
      </c>
      <c r="D523" t="s">
        <v>30</v>
      </c>
      <c r="E523" t="s">
        <v>38</v>
      </c>
      <c r="F523" s="1">
        <v>45446</v>
      </c>
      <c r="G523" s="1">
        <v>45453</v>
      </c>
      <c r="H523">
        <v>50102</v>
      </c>
      <c r="I523">
        <v>1017</v>
      </c>
      <c r="J523">
        <v>120</v>
      </c>
      <c r="K523">
        <v>13532.21</v>
      </c>
      <c r="L523">
        <v>58584.21</v>
      </c>
      <c r="M523">
        <v>2.0299999999999998</v>
      </c>
      <c r="N523">
        <v>11.88</v>
      </c>
      <c r="O523">
        <v>13.31</v>
      </c>
      <c r="P523">
        <v>112.77</v>
      </c>
      <c r="Q523">
        <v>4.33</v>
      </c>
      <c r="R523">
        <v>332.92</v>
      </c>
    </row>
    <row r="524" spans="1:18" x14ac:dyDescent="0.3">
      <c r="A524" t="s">
        <v>1076</v>
      </c>
      <c r="B524" t="s">
        <v>1077</v>
      </c>
      <c r="C524" t="s">
        <v>44</v>
      </c>
      <c r="D524" t="s">
        <v>34</v>
      </c>
      <c r="E524" t="s">
        <v>41</v>
      </c>
      <c r="F524" s="1">
        <v>45575</v>
      </c>
      <c r="G524" s="1">
        <v>45614</v>
      </c>
      <c r="H524">
        <v>498643</v>
      </c>
      <c r="I524">
        <v>10072</v>
      </c>
      <c r="J524">
        <v>423</v>
      </c>
      <c r="K524">
        <v>14291.85</v>
      </c>
      <c r="L524">
        <v>81470.960000000006</v>
      </c>
      <c r="M524">
        <v>2.02</v>
      </c>
      <c r="N524">
        <v>4.2</v>
      </c>
      <c r="O524">
        <v>1.42</v>
      </c>
      <c r="P524">
        <v>33.79</v>
      </c>
      <c r="Q524">
        <v>5.7</v>
      </c>
      <c r="R524">
        <v>470.05</v>
      </c>
    </row>
    <row r="525" spans="1:18" x14ac:dyDescent="0.3">
      <c r="A525" t="s">
        <v>1078</v>
      </c>
      <c r="B525" t="s">
        <v>1079</v>
      </c>
      <c r="C525" t="s">
        <v>37</v>
      </c>
      <c r="D525" t="s">
        <v>34</v>
      </c>
      <c r="E525" t="s">
        <v>26</v>
      </c>
      <c r="F525" s="1">
        <v>45419</v>
      </c>
      <c r="G525" s="1">
        <v>45440</v>
      </c>
      <c r="H525">
        <v>69784</v>
      </c>
      <c r="I525">
        <v>4717</v>
      </c>
      <c r="J525">
        <v>450</v>
      </c>
      <c r="K525">
        <v>1692.45</v>
      </c>
      <c r="L525">
        <v>10160.31</v>
      </c>
      <c r="M525">
        <v>6.76</v>
      </c>
      <c r="N525">
        <v>9.56</v>
      </c>
      <c r="O525">
        <v>0.36</v>
      </c>
      <c r="P525">
        <v>3.76</v>
      </c>
      <c r="Q525">
        <v>6</v>
      </c>
      <c r="R525">
        <v>500.33</v>
      </c>
    </row>
    <row r="526" spans="1:18" x14ac:dyDescent="0.3">
      <c r="A526" t="s">
        <v>1080</v>
      </c>
      <c r="B526" t="s">
        <v>1081</v>
      </c>
      <c r="C526" t="s">
        <v>44</v>
      </c>
      <c r="D526" t="s">
        <v>57</v>
      </c>
      <c r="E526" t="s">
        <v>26</v>
      </c>
      <c r="F526" s="1">
        <v>45539</v>
      </c>
      <c r="G526" s="1">
        <v>45557</v>
      </c>
      <c r="H526">
        <v>349099</v>
      </c>
      <c r="I526">
        <v>7819</v>
      </c>
      <c r="J526">
        <v>368</v>
      </c>
      <c r="K526">
        <v>11678.32</v>
      </c>
      <c r="L526">
        <v>61382.559999999998</v>
      </c>
      <c r="M526">
        <v>2.2400000000000002</v>
      </c>
      <c r="N526">
        <v>4.71</v>
      </c>
      <c r="O526">
        <v>1.49</v>
      </c>
      <c r="P526">
        <v>31.73</v>
      </c>
      <c r="Q526">
        <v>5.26</v>
      </c>
      <c r="R526">
        <v>425.61</v>
      </c>
    </row>
    <row r="527" spans="1:18" x14ac:dyDescent="0.3">
      <c r="A527" t="s">
        <v>1082</v>
      </c>
      <c r="B527" t="s">
        <v>1083</v>
      </c>
      <c r="C527" t="s">
        <v>25</v>
      </c>
      <c r="D527" t="s">
        <v>21</v>
      </c>
      <c r="E527" t="s">
        <v>31</v>
      </c>
      <c r="F527" s="1">
        <v>45320</v>
      </c>
      <c r="G527" s="1">
        <v>45348</v>
      </c>
      <c r="H527">
        <v>386726</v>
      </c>
      <c r="I527">
        <v>5066</v>
      </c>
      <c r="J527">
        <v>512</v>
      </c>
      <c r="K527">
        <v>13220.54</v>
      </c>
      <c r="L527">
        <v>31109.89</v>
      </c>
      <c r="M527">
        <v>1.31</v>
      </c>
      <c r="N527">
        <v>10.119999999999999</v>
      </c>
      <c r="O527">
        <v>2.61</v>
      </c>
      <c r="P527">
        <v>25.82</v>
      </c>
      <c r="Q527">
        <v>2.35</v>
      </c>
      <c r="R527">
        <v>135.31</v>
      </c>
    </row>
    <row r="528" spans="1:18" x14ac:dyDescent="0.3">
      <c r="A528" t="s">
        <v>1084</v>
      </c>
      <c r="B528" t="s">
        <v>1085</v>
      </c>
      <c r="C528" t="s">
        <v>44</v>
      </c>
      <c r="D528" t="s">
        <v>30</v>
      </c>
      <c r="E528" t="s">
        <v>38</v>
      </c>
      <c r="F528" s="1">
        <v>45297</v>
      </c>
      <c r="G528" s="1">
        <v>45328</v>
      </c>
      <c r="H528">
        <v>113197</v>
      </c>
      <c r="I528">
        <v>3916</v>
      </c>
      <c r="J528">
        <v>89</v>
      </c>
      <c r="K528">
        <v>10659.74</v>
      </c>
      <c r="L528">
        <v>50211.18</v>
      </c>
      <c r="M528">
        <v>3.46</v>
      </c>
      <c r="N528">
        <v>2.29</v>
      </c>
      <c r="O528">
        <v>2.72</v>
      </c>
      <c r="P528">
        <v>119.77</v>
      </c>
      <c r="Q528">
        <v>4.71</v>
      </c>
      <c r="R528">
        <v>371.04</v>
      </c>
    </row>
    <row r="529" spans="1:18" x14ac:dyDescent="0.3">
      <c r="A529" t="s">
        <v>1086</v>
      </c>
      <c r="B529" t="s">
        <v>1087</v>
      </c>
      <c r="C529" t="s">
        <v>20</v>
      </c>
      <c r="D529" t="s">
        <v>57</v>
      </c>
      <c r="E529" t="s">
        <v>31</v>
      </c>
      <c r="F529" s="1">
        <v>45370</v>
      </c>
      <c r="G529" s="1">
        <v>45380</v>
      </c>
      <c r="H529">
        <v>71591</v>
      </c>
      <c r="I529">
        <v>2706</v>
      </c>
      <c r="J529">
        <v>199</v>
      </c>
      <c r="K529">
        <v>11536.63</v>
      </c>
      <c r="L529">
        <v>59297.8</v>
      </c>
      <c r="M529">
        <v>3.78</v>
      </c>
      <c r="N529">
        <v>7.39</v>
      </c>
      <c r="O529">
        <v>4.26</v>
      </c>
      <c r="P529">
        <v>57.97</v>
      </c>
      <c r="Q529">
        <v>5.14</v>
      </c>
      <c r="R529">
        <v>414</v>
      </c>
    </row>
    <row r="530" spans="1:18" x14ac:dyDescent="0.3">
      <c r="A530" t="s">
        <v>1088</v>
      </c>
      <c r="B530" t="s">
        <v>1089</v>
      </c>
      <c r="C530" t="s">
        <v>25</v>
      </c>
      <c r="D530" t="s">
        <v>30</v>
      </c>
      <c r="E530" t="s">
        <v>31</v>
      </c>
      <c r="F530" s="1">
        <v>45359</v>
      </c>
      <c r="G530" s="1">
        <v>45387</v>
      </c>
      <c r="H530">
        <v>351599</v>
      </c>
      <c r="I530">
        <v>5836</v>
      </c>
      <c r="J530">
        <v>382</v>
      </c>
      <c r="K530">
        <v>8636.5300000000007</v>
      </c>
      <c r="L530">
        <v>32598.16</v>
      </c>
      <c r="M530">
        <v>1.66</v>
      </c>
      <c r="N530">
        <v>6.55</v>
      </c>
      <c r="O530">
        <v>1.48</v>
      </c>
      <c r="P530">
        <v>22.61</v>
      </c>
      <c r="Q530">
        <v>3.77</v>
      </c>
      <c r="R530">
        <v>277.45</v>
      </c>
    </row>
    <row r="531" spans="1:18" x14ac:dyDescent="0.3">
      <c r="A531" t="s">
        <v>1090</v>
      </c>
      <c r="B531" t="s">
        <v>1091</v>
      </c>
      <c r="C531" t="s">
        <v>20</v>
      </c>
      <c r="D531" t="s">
        <v>30</v>
      </c>
      <c r="E531" t="s">
        <v>31</v>
      </c>
      <c r="F531" s="1">
        <v>45358</v>
      </c>
      <c r="G531" s="1">
        <v>45373</v>
      </c>
      <c r="H531">
        <v>440759</v>
      </c>
      <c r="I531">
        <v>11900</v>
      </c>
      <c r="J531">
        <v>761</v>
      </c>
      <c r="K531">
        <v>6701.58</v>
      </c>
      <c r="L531">
        <v>28536.69</v>
      </c>
      <c r="M531">
        <v>2.7</v>
      </c>
      <c r="N531">
        <v>6.4</v>
      </c>
      <c r="O531">
        <v>0.56000000000000005</v>
      </c>
      <c r="P531">
        <v>8.81</v>
      </c>
      <c r="Q531">
        <v>4.26</v>
      </c>
      <c r="R531">
        <v>325.82</v>
      </c>
    </row>
    <row r="532" spans="1:18" x14ac:dyDescent="0.3">
      <c r="A532" t="s">
        <v>1092</v>
      </c>
      <c r="B532" t="s">
        <v>1093</v>
      </c>
      <c r="C532" t="s">
        <v>25</v>
      </c>
      <c r="D532" t="s">
        <v>34</v>
      </c>
      <c r="E532" t="s">
        <v>38</v>
      </c>
      <c r="F532" s="1">
        <v>45418</v>
      </c>
      <c r="G532" s="1">
        <v>45440</v>
      </c>
      <c r="H532">
        <v>257260</v>
      </c>
      <c r="I532">
        <v>4913</v>
      </c>
      <c r="J532">
        <v>312</v>
      </c>
      <c r="K532">
        <v>13855.95</v>
      </c>
      <c r="L532">
        <v>73582.09</v>
      </c>
      <c r="M532">
        <v>1.91</v>
      </c>
      <c r="N532">
        <v>6.37</v>
      </c>
      <c r="O532">
        <v>2.82</v>
      </c>
      <c r="P532">
        <v>44.41</v>
      </c>
      <c r="Q532">
        <v>5.31</v>
      </c>
      <c r="R532">
        <v>431.05</v>
      </c>
    </row>
    <row r="533" spans="1:18" x14ac:dyDescent="0.3">
      <c r="A533" t="s">
        <v>1094</v>
      </c>
      <c r="B533" t="s">
        <v>1095</v>
      </c>
      <c r="C533" t="s">
        <v>20</v>
      </c>
      <c r="D533" t="s">
        <v>57</v>
      </c>
      <c r="E533" t="s">
        <v>38</v>
      </c>
      <c r="F533" s="1">
        <v>45479</v>
      </c>
      <c r="G533" s="1">
        <v>45508</v>
      </c>
      <c r="H533">
        <v>219560</v>
      </c>
      <c r="I533">
        <v>11504</v>
      </c>
      <c r="J533">
        <v>858</v>
      </c>
      <c r="K533">
        <v>7250.6</v>
      </c>
      <c r="L533">
        <v>27995.43</v>
      </c>
      <c r="M533">
        <v>5.24</v>
      </c>
      <c r="N533">
        <v>7.46</v>
      </c>
      <c r="O533">
        <v>0.63</v>
      </c>
      <c r="P533">
        <v>8.4499999999999993</v>
      </c>
      <c r="Q533">
        <v>3.86</v>
      </c>
      <c r="R533">
        <v>286.11</v>
      </c>
    </row>
    <row r="534" spans="1:18" x14ac:dyDescent="0.3">
      <c r="A534" t="s">
        <v>1096</v>
      </c>
      <c r="B534" t="s">
        <v>1097</v>
      </c>
      <c r="C534" t="s">
        <v>29</v>
      </c>
      <c r="D534" t="s">
        <v>57</v>
      </c>
      <c r="E534" t="s">
        <v>22</v>
      </c>
      <c r="F534" s="1">
        <v>45518</v>
      </c>
      <c r="G534" s="1">
        <v>45534</v>
      </c>
      <c r="H534">
        <v>361362</v>
      </c>
      <c r="I534">
        <v>12539</v>
      </c>
      <c r="J534">
        <v>733</v>
      </c>
      <c r="K534">
        <v>5538.83</v>
      </c>
      <c r="L534">
        <v>19794.25</v>
      </c>
      <c r="M534">
        <v>3.47</v>
      </c>
      <c r="N534">
        <v>5.85</v>
      </c>
      <c r="O534">
        <v>0.44</v>
      </c>
      <c r="P534">
        <v>7.56</v>
      </c>
      <c r="Q534">
        <v>3.57</v>
      </c>
      <c r="R534">
        <v>257.37</v>
      </c>
    </row>
    <row r="535" spans="1:18" x14ac:dyDescent="0.3">
      <c r="A535" t="s">
        <v>1098</v>
      </c>
      <c r="B535" t="s">
        <v>1099</v>
      </c>
      <c r="C535" t="s">
        <v>25</v>
      </c>
      <c r="D535" t="s">
        <v>21</v>
      </c>
      <c r="E535" t="s">
        <v>41</v>
      </c>
      <c r="F535" s="1">
        <v>45319</v>
      </c>
      <c r="G535" s="1">
        <v>45341</v>
      </c>
      <c r="H535">
        <v>154692</v>
      </c>
      <c r="I535">
        <v>3047</v>
      </c>
      <c r="J535">
        <v>185</v>
      </c>
      <c r="K535">
        <v>15655.79</v>
      </c>
      <c r="L535">
        <v>37357.300000000003</v>
      </c>
      <c r="M535">
        <v>1.97</v>
      </c>
      <c r="N535">
        <v>6.09</v>
      </c>
      <c r="O535">
        <v>5.14</v>
      </c>
      <c r="P535">
        <v>84.63</v>
      </c>
      <c r="Q535">
        <v>2.39</v>
      </c>
      <c r="R535">
        <v>138.62</v>
      </c>
    </row>
    <row r="536" spans="1:18" x14ac:dyDescent="0.3">
      <c r="A536" t="s">
        <v>1100</v>
      </c>
      <c r="B536" t="s">
        <v>1101</v>
      </c>
      <c r="C536" t="s">
        <v>37</v>
      </c>
      <c r="D536" t="s">
        <v>34</v>
      </c>
      <c r="E536" t="s">
        <v>22</v>
      </c>
      <c r="F536" s="1">
        <v>45461</v>
      </c>
      <c r="G536" s="1">
        <v>45481</v>
      </c>
      <c r="H536">
        <v>57200</v>
      </c>
      <c r="I536">
        <v>3466</v>
      </c>
      <c r="J536">
        <v>555</v>
      </c>
      <c r="K536">
        <v>1873.03</v>
      </c>
      <c r="L536">
        <v>7717.55</v>
      </c>
      <c r="M536">
        <v>6.06</v>
      </c>
      <c r="N536">
        <v>16.04</v>
      </c>
      <c r="O536">
        <v>0.54</v>
      </c>
      <c r="P536">
        <v>3.37</v>
      </c>
      <c r="Q536">
        <v>4.12</v>
      </c>
      <c r="R536">
        <v>312.04000000000002</v>
      </c>
    </row>
    <row r="537" spans="1:18" x14ac:dyDescent="0.3">
      <c r="A537" t="s">
        <v>1102</v>
      </c>
      <c r="B537" t="s">
        <v>1103</v>
      </c>
      <c r="C537" t="s">
        <v>37</v>
      </c>
      <c r="D537" t="s">
        <v>34</v>
      </c>
      <c r="E537" t="s">
        <v>41</v>
      </c>
      <c r="F537" s="1">
        <v>45364</v>
      </c>
      <c r="G537" s="1">
        <v>45372</v>
      </c>
      <c r="H537">
        <v>336483</v>
      </c>
      <c r="I537">
        <v>24024</v>
      </c>
      <c r="J537">
        <v>2544</v>
      </c>
      <c r="K537">
        <v>2673.62</v>
      </c>
      <c r="L537">
        <v>14129.16</v>
      </c>
      <c r="M537">
        <v>7.14</v>
      </c>
      <c r="N537">
        <v>10.59</v>
      </c>
      <c r="O537">
        <v>0.11</v>
      </c>
      <c r="P537">
        <v>1.05</v>
      </c>
      <c r="Q537">
        <v>5.28</v>
      </c>
      <c r="R537">
        <v>428.47</v>
      </c>
    </row>
    <row r="538" spans="1:18" x14ac:dyDescent="0.3">
      <c r="A538" t="s">
        <v>1104</v>
      </c>
      <c r="B538" t="s">
        <v>1105</v>
      </c>
      <c r="C538" t="s">
        <v>25</v>
      </c>
      <c r="D538" t="s">
        <v>21</v>
      </c>
      <c r="E538" t="s">
        <v>22</v>
      </c>
      <c r="F538" s="1">
        <v>45530</v>
      </c>
      <c r="G538" s="1">
        <v>45537</v>
      </c>
      <c r="H538">
        <v>139296</v>
      </c>
      <c r="I538">
        <v>1253</v>
      </c>
      <c r="J538">
        <v>80</v>
      </c>
      <c r="K538">
        <v>15144.43</v>
      </c>
      <c r="L538">
        <v>48776.67</v>
      </c>
      <c r="M538">
        <v>0.9</v>
      </c>
      <c r="N538">
        <v>6.4</v>
      </c>
      <c r="O538">
        <v>12.09</v>
      </c>
      <c r="P538">
        <v>189.31</v>
      </c>
      <c r="Q538">
        <v>3.22</v>
      </c>
      <c r="R538">
        <v>222.08</v>
      </c>
    </row>
    <row r="539" spans="1:18" x14ac:dyDescent="0.3">
      <c r="A539" t="s">
        <v>1106</v>
      </c>
      <c r="B539" t="s">
        <v>1107</v>
      </c>
      <c r="C539" t="s">
        <v>20</v>
      </c>
      <c r="D539" t="s">
        <v>30</v>
      </c>
      <c r="E539" t="s">
        <v>22</v>
      </c>
      <c r="F539" s="1">
        <v>45489</v>
      </c>
      <c r="G539" s="1">
        <v>45510</v>
      </c>
      <c r="H539">
        <v>397593</v>
      </c>
      <c r="I539">
        <v>23497</v>
      </c>
      <c r="J539">
        <v>1870</v>
      </c>
      <c r="K539">
        <v>22285.65</v>
      </c>
      <c r="L539">
        <v>46484.58</v>
      </c>
      <c r="M539">
        <v>5.91</v>
      </c>
      <c r="N539">
        <v>7.96</v>
      </c>
      <c r="O539">
        <v>0.95</v>
      </c>
      <c r="P539">
        <v>11.92</v>
      </c>
      <c r="Q539">
        <v>2.09</v>
      </c>
      <c r="R539">
        <v>108.59</v>
      </c>
    </row>
    <row r="540" spans="1:18" x14ac:dyDescent="0.3">
      <c r="A540" t="s">
        <v>1108</v>
      </c>
      <c r="B540" t="s">
        <v>1109</v>
      </c>
      <c r="C540" t="s">
        <v>25</v>
      </c>
      <c r="D540" t="s">
        <v>21</v>
      </c>
      <c r="E540" t="s">
        <v>22</v>
      </c>
      <c r="F540" s="1">
        <v>45526</v>
      </c>
      <c r="G540" s="1">
        <v>45568</v>
      </c>
      <c r="H540">
        <v>304102</v>
      </c>
      <c r="I540">
        <v>6903</v>
      </c>
      <c r="J540">
        <v>601</v>
      </c>
      <c r="K540">
        <v>6982.68</v>
      </c>
      <c r="L540">
        <v>29696.84</v>
      </c>
      <c r="M540">
        <v>2.27</v>
      </c>
      <c r="N540">
        <v>8.7200000000000006</v>
      </c>
      <c r="O540">
        <v>1.01</v>
      </c>
      <c r="P540">
        <v>11.62</v>
      </c>
      <c r="Q540">
        <v>4.25</v>
      </c>
      <c r="R540">
        <v>325.29000000000002</v>
      </c>
    </row>
    <row r="541" spans="1:18" x14ac:dyDescent="0.3">
      <c r="A541" t="s">
        <v>1110</v>
      </c>
      <c r="B541" t="s">
        <v>1111</v>
      </c>
      <c r="C541" t="s">
        <v>20</v>
      </c>
      <c r="D541" t="s">
        <v>21</v>
      </c>
      <c r="E541" t="s">
        <v>41</v>
      </c>
      <c r="F541" s="1">
        <v>45472</v>
      </c>
      <c r="G541" s="1">
        <v>45501</v>
      </c>
      <c r="H541">
        <v>327566</v>
      </c>
      <c r="I541">
        <v>12185</v>
      </c>
      <c r="J541">
        <v>845</v>
      </c>
      <c r="K541">
        <v>19887.810000000001</v>
      </c>
      <c r="L541">
        <v>41419.839999999997</v>
      </c>
      <c r="M541">
        <v>3.72</v>
      </c>
      <c r="N541">
        <v>6.94</v>
      </c>
      <c r="O541">
        <v>1.63</v>
      </c>
      <c r="P541">
        <v>23.54</v>
      </c>
      <c r="Q541">
        <v>2.08</v>
      </c>
      <c r="R541">
        <v>108.27</v>
      </c>
    </row>
    <row r="542" spans="1:18" x14ac:dyDescent="0.3">
      <c r="A542" t="s">
        <v>1112</v>
      </c>
      <c r="B542" t="s">
        <v>1113</v>
      </c>
      <c r="C542" t="s">
        <v>44</v>
      </c>
      <c r="D542" t="s">
        <v>34</v>
      </c>
      <c r="E542" t="s">
        <v>31</v>
      </c>
      <c r="F542" s="1">
        <v>45307</v>
      </c>
      <c r="G542" s="1">
        <v>45349</v>
      </c>
      <c r="H542">
        <v>194639</v>
      </c>
      <c r="I542">
        <v>6442</v>
      </c>
      <c r="J542">
        <v>237</v>
      </c>
      <c r="K542">
        <v>13483.47</v>
      </c>
      <c r="L542">
        <v>80992.63</v>
      </c>
      <c r="M542">
        <v>3.31</v>
      </c>
      <c r="N542">
        <v>3.69</v>
      </c>
      <c r="O542">
        <v>2.09</v>
      </c>
      <c r="P542">
        <v>56.89</v>
      </c>
      <c r="Q542">
        <v>6.01</v>
      </c>
      <c r="R542">
        <v>500.68</v>
      </c>
    </row>
    <row r="543" spans="1:18" x14ac:dyDescent="0.3">
      <c r="A543" t="s">
        <v>1114</v>
      </c>
      <c r="B543" t="s">
        <v>1115</v>
      </c>
      <c r="C543" t="s">
        <v>44</v>
      </c>
      <c r="D543" t="s">
        <v>34</v>
      </c>
      <c r="E543" t="s">
        <v>41</v>
      </c>
      <c r="F543" s="1">
        <v>45605</v>
      </c>
      <c r="G543" s="1">
        <v>45626</v>
      </c>
      <c r="H543">
        <v>229194</v>
      </c>
      <c r="I543">
        <v>8090</v>
      </c>
      <c r="J543">
        <v>307</v>
      </c>
      <c r="K543">
        <v>3597.44</v>
      </c>
      <c r="L543">
        <v>13382.23</v>
      </c>
      <c r="M543">
        <v>3.53</v>
      </c>
      <c r="N543">
        <v>3.8</v>
      </c>
      <c r="O543">
        <v>0.44</v>
      </c>
      <c r="P543">
        <v>11.72</v>
      </c>
      <c r="Q543">
        <v>3.72</v>
      </c>
      <c r="R543">
        <v>271.99</v>
      </c>
    </row>
    <row r="544" spans="1:18" x14ac:dyDescent="0.3">
      <c r="A544" t="s">
        <v>1116</v>
      </c>
      <c r="B544" t="s">
        <v>1117</v>
      </c>
      <c r="C544" t="s">
        <v>25</v>
      </c>
      <c r="D544" t="s">
        <v>34</v>
      </c>
      <c r="E544" t="s">
        <v>31</v>
      </c>
      <c r="F544" s="1">
        <v>45359</v>
      </c>
      <c r="G544" s="1">
        <v>45379</v>
      </c>
      <c r="H544">
        <v>130084</v>
      </c>
      <c r="I544">
        <v>1977</v>
      </c>
      <c r="J544">
        <v>142</v>
      </c>
      <c r="K544">
        <v>13685.9</v>
      </c>
      <c r="L544">
        <v>55034.58</v>
      </c>
      <c r="M544">
        <v>1.52</v>
      </c>
      <c r="N544">
        <v>7.19</v>
      </c>
      <c r="O544">
        <v>6.92</v>
      </c>
      <c r="P544">
        <v>96.38</v>
      </c>
      <c r="Q544">
        <v>4.0199999999999996</v>
      </c>
      <c r="R544">
        <v>302.13</v>
      </c>
    </row>
    <row r="545" spans="1:18" x14ac:dyDescent="0.3">
      <c r="A545" t="s">
        <v>1118</v>
      </c>
      <c r="B545" t="s">
        <v>1119</v>
      </c>
      <c r="C545" t="s">
        <v>29</v>
      </c>
      <c r="D545" t="s">
        <v>34</v>
      </c>
      <c r="E545" t="s">
        <v>41</v>
      </c>
      <c r="F545" s="1">
        <v>45366</v>
      </c>
      <c r="G545" s="1">
        <v>45409</v>
      </c>
      <c r="H545">
        <v>212004</v>
      </c>
      <c r="I545">
        <v>7568</v>
      </c>
      <c r="J545">
        <v>491</v>
      </c>
      <c r="K545">
        <v>16643.439999999999</v>
      </c>
      <c r="L545">
        <v>65496.75</v>
      </c>
      <c r="M545">
        <v>3.57</v>
      </c>
      <c r="N545">
        <v>6.49</v>
      </c>
      <c r="O545">
        <v>2.2000000000000002</v>
      </c>
      <c r="P545">
        <v>33.9</v>
      </c>
      <c r="Q545">
        <v>3.94</v>
      </c>
      <c r="R545">
        <v>293.52999999999997</v>
      </c>
    </row>
    <row r="546" spans="1:18" x14ac:dyDescent="0.3">
      <c r="A546" t="s">
        <v>1120</v>
      </c>
      <c r="B546" t="s">
        <v>1121</v>
      </c>
      <c r="C546" t="s">
        <v>29</v>
      </c>
      <c r="D546" t="s">
        <v>57</v>
      </c>
      <c r="E546" t="s">
        <v>26</v>
      </c>
      <c r="F546" s="1">
        <v>45366</v>
      </c>
      <c r="G546" s="1">
        <v>45374</v>
      </c>
      <c r="H546">
        <v>342206</v>
      </c>
      <c r="I546">
        <v>10608</v>
      </c>
      <c r="J546">
        <v>594</v>
      </c>
      <c r="K546">
        <v>5762.03</v>
      </c>
      <c r="L546">
        <v>33292.15</v>
      </c>
      <c r="M546">
        <v>3.1</v>
      </c>
      <c r="N546">
        <v>5.6</v>
      </c>
      <c r="O546">
        <v>0.54</v>
      </c>
      <c r="P546">
        <v>9.6999999999999993</v>
      </c>
      <c r="Q546">
        <v>5.78</v>
      </c>
      <c r="R546">
        <v>477.79</v>
      </c>
    </row>
    <row r="547" spans="1:18" x14ac:dyDescent="0.3">
      <c r="A547" t="s">
        <v>1122</v>
      </c>
      <c r="B547" t="s">
        <v>1123</v>
      </c>
      <c r="C547" t="s">
        <v>44</v>
      </c>
      <c r="D547" t="s">
        <v>30</v>
      </c>
      <c r="E547" t="s">
        <v>38</v>
      </c>
      <c r="F547" s="1">
        <v>45432</v>
      </c>
      <c r="G547" s="1">
        <v>45448</v>
      </c>
      <c r="H547">
        <v>209041</v>
      </c>
      <c r="I547">
        <v>4912</v>
      </c>
      <c r="J547">
        <v>234</v>
      </c>
      <c r="K547">
        <v>13676.63</v>
      </c>
      <c r="L547">
        <v>84789.98</v>
      </c>
      <c r="M547">
        <v>2.35</v>
      </c>
      <c r="N547">
        <v>4.7699999999999996</v>
      </c>
      <c r="O547">
        <v>2.78</v>
      </c>
      <c r="P547">
        <v>58.45</v>
      </c>
      <c r="Q547">
        <v>6.2</v>
      </c>
      <c r="R547">
        <v>519.96</v>
      </c>
    </row>
    <row r="548" spans="1:18" x14ac:dyDescent="0.3">
      <c r="A548" t="s">
        <v>1124</v>
      </c>
      <c r="B548" t="s">
        <v>1125</v>
      </c>
      <c r="C548" t="s">
        <v>29</v>
      </c>
      <c r="D548" t="s">
        <v>21</v>
      </c>
      <c r="E548" t="s">
        <v>41</v>
      </c>
      <c r="F548" s="1">
        <v>45605</v>
      </c>
      <c r="G548" s="1">
        <v>45626</v>
      </c>
      <c r="H548">
        <v>146860</v>
      </c>
      <c r="I548">
        <v>2320</v>
      </c>
      <c r="J548">
        <v>160</v>
      </c>
      <c r="K548">
        <v>12254.2</v>
      </c>
      <c r="L548">
        <v>57903.79</v>
      </c>
      <c r="M548">
        <v>1.58</v>
      </c>
      <c r="N548">
        <v>6.93</v>
      </c>
      <c r="O548">
        <v>5.28</v>
      </c>
      <c r="P548">
        <v>76.59</v>
      </c>
      <c r="Q548">
        <v>4.7300000000000004</v>
      </c>
      <c r="R548">
        <v>372.52</v>
      </c>
    </row>
    <row r="549" spans="1:18" x14ac:dyDescent="0.3">
      <c r="A549" t="s">
        <v>1126</v>
      </c>
      <c r="B549" t="s">
        <v>1127</v>
      </c>
      <c r="C549" t="s">
        <v>37</v>
      </c>
      <c r="D549" t="s">
        <v>34</v>
      </c>
      <c r="E549" t="s">
        <v>41</v>
      </c>
      <c r="F549" s="1">
        <v>45601</v>
      </c>
      <c r="G549" s="1">
        <v>45638</v>
      </c>
      <c r="H549">
        <v>410383</v>
      </c>
      <c r="I549">
        <v>17071</v>
      </c>
      <c r="J549">
        <v>1500</v>
      </c>
      <c r="K549">
        <v>4009.22</v>
      </c>
      <c r="L549">
        <v>10437.56</v>
      </c>
      <c r="M549">
        <v>4.16</v>
      </c>
      <c r="N549">
        <v>8.7899999999999991</v>
      </c>
      <c r="O549">
        <v>0.23</v>
      </c>
      <c r="P549">
        <v>2.67</v>
      </c>
      <c r="Q549">
        <v>2.6</v>
      </c>
      <c r="R549">
        <v>160.34</v>
      </c>
    </row>
    <row r="550" spans="1:18" x14ac:dyDescent="0.3">
      <c r="A550" t="s">
        <v>1128</v>
      </c>
      <c r="B550" t="s">
        <v>1129</v>
      </c>
      <c r="C550" t="s">
        <v>44</v>
      </c>
      <c r="D550" t="s">
        <v>34</v>
      </c>
      <c r="E550" t="s">
        <v>38</v>
      </c>
      <c r="F550" s="1">
        <v>45299</v>
      </c>
      <c r="G550" s="1">
        <v>45323</v>
      </c>
      <c r="H550">
        <v>307659</v>
      </c>
      <c r="I550">
        <v>7476</v>
      </c>
      <c r="J550">
        <v>154</v>
      </c>
      <c r="K550">
        <v>5328.41</v>
      </c>
      <c r="L550">
        <v>20453.91</v>
      </c>
      <c r="M550">
        <v>2.4300000000000002</v>
      </c>
      <c r="N550">
        <v>2.0699999999999998</v>
      </c>
      <c r="O550">
        <v>0.71</v>
      </c>
      <c r="P550">
        <v>34.6</v>
      </c>
      <c r="Q550">
        <v>3.84</v>
      </c>
      <c r="R550">
        <v>283.87</v>
      </c>
    </row>
    <row r="551" spans="1:18" x14ac:dyDescent="0.3">
      <c r="A551" t="s">
        <v>1130</v>
      </c>
      <c r="B551" t="s">
        <v>1131</v>
      </c>
      <c r="C551" t="s">
        <v>25</v>
      </c>
      <c r="D551" t="s">
        <v>34</v>
      </c>
      <c r="E551" t="s">
        <v>41</v>
      </c>
      <c r="F551" s="1">
        <v>45607</v>
      </c>
      <c r="G551" s="1">
        <v>45645</v>
      </c>
      <c r="H551">
        <v>447293</v>
      </c>
      <c r="I551">
        <v>5143</v>
      </c>
      <c r="J551">
        <v>320</v>
      </c>
      <c r="K551">
        <v>19275.189999999999</v>
      </c>
      <c r="L551">
        <v>76653.259999999995</v>
      </c>
      <c r="M551">
        <v>1.1499999999999999</v>
      </c>
      <c r="N551">
        <v>6.24</v>
      </c>
      <c r="O551">
        <v>3.75</v>
      </c>
      <c r="P551">
        <v>60.23</v>
      </c>
      <c r="Q551">
        <v>3.98</v>
      </c>
      <c r="R551">
        <v>297.68</v>
      </c>
    </row>
    <row r="552" spans="1:18" x14ac:dyDescent="0.3">
      <c r="A552" t="s">
        <v>1132</v>
      </c>
      <c r="B552" t="s">
        <v>1133</v>
      </c>
      <c r="C552" t="s">
        <v>44</v>
      </c>
      <c r="D552" t="s">
        <v>30</v>
      </c>
      <c r="E552" t="s">
        <v>41</v>
      </c>
      <c r="F552" s="1">
        <v>45452</v>
      </c>
      <c r="G552" s="1">
        <v>45484</v>
      </c>
      <c r="H552">
        <v>274162</v>
      </c>
      <c r="I552">
        <v>6168</v>
      </c>
      <c r="J552">
        <v>101</v>
      </c>
      <c r="K552">
        <v>11691.65</v>
      </c>
      <c r="L552">
        <v>43395.71</v>
      </c>
      <c r="M552">
        <v>2.25</v>
      </c>
      <c r="N552">
        <v>1.65</v>
      </c>
      <c r="O552">
        <v>1.9</v>
      </c>
      <c r="P552">
        <v>115.76</v>
      </c>
      <c r="Q552">
        <v>3.71</v>
      </c>
      <c r="R552">
        <v>271.17</v>
      </c>
    </row>
    <row r="553" spans="1:18" x14ac:dyDescent="0.3">
      <c r="A553" t="s">
        <v>1134</v>
      </c>
      <c r="B553" t="s">
        <v>1135</v>
      </c>
      <c r="C553" t="s">
        <v>37</v>
      </c>
      <c r="D553" t="s">
        <v>21</v>
      </c>
      <c r="E553" t="s">
        <v>31</v>
      </c>
      <c r="F553" s="1">
        <v>45557</v>
      </c>
      <c r="G553" s="1">
        <v>45598</v>
      </c>
      <c r="H553">
        <v>107313</v>
      </c>
      <c r="I553">
        <v>7200</v>
      </c>
      <c r="J553">
        <v>1171</v>
      </c>
      <c r="K553">
        <v>690.87</v>
      </c>
      <c r="L553">
        <v>4477.71</v>
      </c>
      <c r="M553">
        <v>6.71</v>
      </c>
      <c r="N553">
        <v>16.27</v>
      </c>
      <c r="O553">
        <v>0.1</v>
      </c>
      <c r="P553">
        <v>0.59</v>
      </c>
      <c r="Q553">
        <v>6.48</v>
      </c>
      <c r="R553">
        <v>548.13</v>
      </c>
    </row>
    <row r="554" spans="1:18" x14ac:dyDescent="0.3">
      <c r="A554" t="s">
        <v>1136</v>
      </c>
      <c r="B554" t="s">
        <v>1137</v>
      </c>
      <c r="C554" t="s">
        <v>25</v>
      </c>
      <c r="D554" t="s">
        <v>21</v>
      </c>
      <c r="E554" t="s">
        <v>31</v>
      </c>
      <c r="F554" s="1">
        <v>45495</v>
      </c>
      <c r="G554" s="1">
        <v>45521</v>
      </c>
      <c r="H554">
        <v>253108</v>
      </c>
      <c r="I554">
        <v>4252</v>
      </c>
      <c r="J554">
        <v>400</v>
      </c>
      <c r="K554">
        <v>4788.7299999999996</v>
      </c>
      <c r="L554">
        <v>15852.17</v>
      </c>
      <c r="M554">
        <v>1.68</v>
      </c>
      <c r="N554">
        <v>9.41</v>
      </c>
      <c r="O554">
        <v>1.1299999999999999</v>
      </c>
      <c r="P554">
        <v>11.97</v>
      </c>
      <c r="Q554">
        <v>3.31</v>
      </c>
      <c r="R554">
        <v>231.03</v>
      </c>
    </row>
    <row r="555" spans="1:18" x14ac:dyDescent="0.3">
      <c r="A555" t="s">
        <v>1138</v>
      </c>
      <c r="B555" t="s">
        <v>1139</v>
      </c>
      <c r="C555" t="s">
        <v>44</v>
      </c>
      <c r="D555" t="s">
        <v>30</v>
      </c>
      <c r="E555" t="s">
        <v>41</v>
      </c>
      <c r="F555" s="1">
        <v>45529</v>
      </c>
      <c r="G555" s="1">
        <v>45564</v>
      </c>
      <c r="H555">
        <v>271491</v>
      </c>
      <c r="I555">
        <v>5348</v>
      </c>
      <c r="J555">
        <v>252</v>
      </c>
      <c r="K555">
        <v>11124.41</v>
      </c>
      <c r="L555">
        <v>67486.679999999993</v>
      </c>
      <c r="M555">
        <v>1.97</v>
      </c>
      <c r="N555">
        <v>4.72</v>
      </c>
      <c r="O555">
        <v>2.08</v>
      </c>
      <c r="P555">
        <v>44.14</v>
      </c>
      <c r="Q555">
        <v>6.07</v>
      </c>
      <c r="R555">
        <v>506.65</v>
      </c>
    </row>
    <row r="556" spans="1:18" x14ac:dyDescent="0.3">
      <c r="A556" t="s">
        <v>1140</v>
      </c>
      <c r="B556" t="s">
        <v>1141</v>
      </c>
      <c r="C556" t="s">
        <v>20</v>
      </c>
      <c r="D556" t="s">
        <v>21</v>
      </c>
      <c r="E556" t="s">
        <v>41</v>
      </c>
      <c r="F556" s="1">
        <v>45457</v>
      </c>
      <c r="G556" s="1">
        <v>45492</v>
      </c>
      <c r="H556">
        <v>458279</v>
      </c>
      <c r="I556">
        <v>22180</v>
      </c>
      <c r="J556">
        <v>2078</v>
      </c>
      <c r="K556">
        <v>15928.14</v>
      </c>
      <c r="L556">
        <v>60029.98</v>
      </c>
      <c r="M556">
        <v>4.84</v>
      </c>
      <c r="N556">
        <v>9.3699999999999992</v>
      </c>
      <c r="O556">
        <v>0.72</v>
      </c>
      <c r="P556">
        <v>7.67</v>
      </c>
      <c r="Q556">
        <v>3.77</v>
      </c>
      <c r="R556">
        <v>276.88</v>
      </c>
    </row>
    <row r="557" spans="1:18" x14ac:dyDescent="0.3">
      <c r="A557" t="s">
        <v>1142</v>
      </c>
      <c r="B557" t="s">
        <v>1143</v>
      </c>
      <c r="C557" t="s">
        <v>20</v>
      </c>
      <c r="D557" t="s">
        <v>34</v>
      </c>
      <c r="E557" t="s">
        <v>38</v>
      </c>
      <c r="F557" s="1">
        <v>45457</v>
      </c>
      <c r="G557" s="1">
        <v>45474</v>
      </c>
      <c r="H557">
        <v>359495</v>
      </c>
      <c r="I557">
        <v>21893</v>
      </c>
      <c r="J557">
        <v>2051</v>
      </c>
      <c r="K557">
        <v>22650.97</v>
      </c>
      <c r="L557">
        <v>54493.9</v>
      </c>
      <c r="M557">
        <v>6.09</v>
      </c>
      <c r="N557">
        <v>9.3699999999999992</v>
      </c>
      <c r="O557">
        <v>1.03</v>
      </c>
      <c r="P557">
        <v>11.04</v>
      </c>
      <c r="Q557">
        <v>2.41</v>
      </c>
      <c r="R557">
        <v>140.58000000000001</v>
      </c>
    </row>
    <row r="558" spans="1:18" x14ac:dyDescent="0.3">
      <c r="A558" t="s">
        <v>1144</v>
      </c>
      <c r="B558" t="s">
        <v>1145</v>
      </c>
      <c r="C558" t="s">
        <v>20</v>
      </c>
      <c r="D558" t="s">
        <v>21</v>
      </c>
      <c r="E558" t="s">
        <v>26</v>
      </c>
      <c r="F558" s="1">
        <v>45553</v>
      </c>
      <c r="G558" s="1">
        <v>45570</v>
      </c>
      <c r="H558">
        <v>420266</v>
      </c>
      <c r="I558">
        <v>18071</v>
      </c>
      <c r="J558">
        <v>1116</v>
      </c>
      <c r="K558">
        <v>15476.35</v>
      </c>
      <c r="L558">
        <v>57701.919999999998</v>
      </c>
      <c r="M558">
        <v>4.3</v>
      </c>
      <c r="N558">
        <v>6.18</v>
      </c>
      <c r="O558">
        <v>0.86</v>
      </c>
      <c r="P558">
        <v>13.87</v>
      </c>
      <c r="Q558">
        <v>3.73</v>
      </c>
      <c r="R558">
        <v>272.83999999999997</v>
      </c>
    </row>
    <row r="559" spans="1:18" x14ac:dyDescent="0.3">
      <c r="A559" t="s">
        <v>1146</v>
      </c>
      <c r="B559" t="s">
        <v>1147</v>
      </c>
      <c r="C559" t="s">
        <v>25</v>
      </c>
      <c r="D559" t="s">
        <v>30</v>
      </c>
      <c r="E559" t="s">
        <v>26</v>
      </c>
      <c r="F559" s="1">
        <v>45375</v>
      </c>
      <c r="G559" s="1">
        <v>45391</v>
      </c>
      <c r="H559">
        <v>452789</v>
      </c>
      <c r="I559">
        <v>4935</v>
      </c>
      <c r="J559">
        <v>362</v>
      </c>
      <c r="K559">
        <v>17940.89</v>
      </c>
      <c r="L559">
        <v>105528.78</v>
      </c>
      <c r="M559">
        <v>1.0900000000000001</v>
      </c>
      <c r="N559">
        <v>7.35</v>
      </c>
      <c r="O559">
        <v>3.64</v>
      </c>
      <c r="P559">
        <v>49.56</v>
      </c>
      <c r="Q559">
        <v>5.88</v>
      </c>
      <c r="R559">
        <v>488.2</v>
      </c>
    </row>
    <row r="560" spans="1:18" x14ac:dyDescent="0.3">
      <c r="A560" t="s">
        <v>1148</v>
      </c>
      <c r="B560" t="s">
        <v>1149</v>
      </c>
      <c r="C560" t="s">
        <v>29</v>
      </c>
      <c r="D560" t="s">
        <v>21</v>
      </c>
      <c r="E560" t="s">
        <v>38</v>
      </c>
      <c r="F560" s="1">
        <v>45352</v>
      </c>
      <c r="G560" s="1">
        <v>45367</v>
      </c>
      <c r="H560">
        <v>211513</v>
      </c>
      <c r="I560">
        <v>5139</v>
      </c>
      <c r="J560">
        <v>300</v>
      </c>
      <c r="K560">
        <v>9693.8700000000008</v>
      </c>
      <c r="L560">
        <v>46715.13</v>
      </c>
      <c r="M560">
        <v>2.4300000000000002</v>
      </c>
      <c r="N560">
        <v>5.84</v>
      </c>
      <c r="O560">
        <v>1.89</v>
      </c>
      <c r="P560">
        <v>32.31</v>
      </c>
      <c r="Q560">
        <v>4.82</v>
      </c>
      <c r="R560">
        <v>381.9</v>
      </c>
    </row>
    <row r="561" spans="1:18" x14ac:dyDescent="0.3">
      <c r="A561" t="s">
        <v>1150</v>
      </c>
      <c r="B561" t="s">
        <v>1151</v>
      </c>
      <c r="C561" t="s">
        <v>29</v>
      </c>
      <c r="D561" t="s">
        <v>21</v>
      </c>
      <c r="E561" t="s">
        <v>31</v>
      </c>
      <c r="F561" s="1">
        <v>45294</v>
      </c>
      <c r="G561" s="1">
        <v>45339</v>
      </c>
      <c r="H561">
        <v>451287</v>
      </c>
      <c r="I561">
        <v>10199</v>
      </c>
      <c r="J561">
        <v>437</v>
      </c>
      <c r="K561">
        <v>15831.17</v>
      </c>
      <c r="L561">
        <v>70381.509999999995</v>
      </c>
      <c r="M561">
        <v>2.2599999999999998</v>
      </c>
      <c r="N561">
        <v>4.29</v>
      </c>
      <c r="O561">
        <v>1.55</v>
      </c>
      <c r="P561">
        <v>36.229999999999997</v>
      </c>
      <c r="Q561">
        <v>4.45</v>
      </c>
      <c r="R561">
        <v>344.58</v>
      </c>
    </row>
    <row r="562" spans="1:18" x14ac:dyDescent="0.3">
      <c r="A562" t="s">
        <v>1152</v>
      </c>
      <c r="B562" t="s">
        <v>1153</v>
      </c>
      <c r="C562" t="s">
        <v>25</v>
      </c>
      <c r="D562" t="s">
        <v>34</v>
      </c>
      <c r="E562" t="s">
        <v>41</v>
      </c>
      <c r="F562" s="1">
        <v>45295</v>
      </c>
      <c r="G562" s="1">
        <v>45317</v>
      </c>
      <c r="H562">
        <v>358733</v>
      </c>
      <c r="I562">
        <v>6887</v>
      </c>
      <c r="J562">
        <v>563</v>
      </c>
      <c r="K562">
        <v>11070.01</v>
      </c>
      <c r="L562">
        <v>52089.65</v>
      </c>
      <c r="M562">
        <v>1.92</v>
      </c>
      <c r="N562">
        <v>8.18</v>
      </c>
      <c r="O562">
        <v>1.61</v>
      </c>
      <c r="P562">
        <v>19.66</v>
      </c>
      <c r="Q562">
        <v>4.71</v>
      </c>
      <c r="R562">
        <v>370.55</v>
      </c>
    </row>
    <row r="563" spans="1:18" x14ac:dyDescent="0.3">
      <c r="A563" t="s">
        <v>1154</v>
      </c>
      <c r="B563" t="s">
        <v>1155</v>
      </c>
      <c r="C563" t="s">
        <v>37</v>
      </c>
      <c r="D563" t="s">
        <v>57</v>
      </c>
      <c r="E563" t="s">
        <v>31</v>
      </c>
      <c r="F563" s="1">
        <v>45470</v>
      </c>
      <c r="G563" s="1">
        <v>45479</v>
      </c>
      <c r="H563">
        <v>379586</v>
      </c>
      <c r="I563">
        <v>27899</v>
      </c>
      <c r="J563">
        <v>4533</v>
      </c>
      <c r="K563">
        <v>720.13</v>
      </c>
      <c r="L563">
        <v>1920.7</v>
      </c>
      <c r="M563">
        <v>7.35</v>
      </c>
      <c r="N563">
        <v>16.25</v>
      </c>
      <c r="O563">
        <v>0.03</v>
      </c>
      <c r="P563">
        <v>0.16</v>
      </c>
      <c r="Q563">
        <v>2.67</v>
      </c>
      <c r="R563">
        <v>166.72</v>
      </c>
    </row>
    <row r="564" spans="1:18" x14ac:dyDescent="0.3">
      <c r="A564" t="s">
        <v>1156</v>
      </c>
      <c r="B564" t="s">
        <v>1157</v>
      </c>
      <c r="C564" t="s">
        <v>29</v>
      </c>
      <c r="D564" t="s">
        <v>21</v>
      </c>
      <c r="E564" t="s">
        <v>31</v>
      </c>
      <c r="F564" s="1">
        <v>45383</v>
      </c>
      <c r="G564" s="1">
        <v>45400</v>
      </c>
      <c r="H564">
        <v>489360</v>
      </c>
      <c r="I564">
        <v>16197</v>
      </c>
      <c r="J564">
        <v>592</v>
      </c>
      <c r="K564">
        <v>4315.54</v>
      </c>
      <c r="L564">
        <v>10745.67</v>
      </c>
      <c r="M564">
        <v>3.31</v>
      </c>
      <c r="N564">
        <v>3.66</v>
      </c>
      <c r="O564">
        <v>0.27</v>
      </c>
      <c r="P564">
        <v>7.29</v>
      </c>
      <c r="Q564">
        <v>2.4900000000000002</v>
      </c>
      <c r="R564">
        <v>149</v>
      </c>
    </row>
    <row r="565" spans="1:18" x14ac:dyDescent="0.3">
      <c r="A565" t="s">
        <v>1158</v>
      </c>
      <c r="B565" t="s">
        <v>1159</v>
      </c>
      <c r="C565" t="s">
        <v>44</v>
      </c>
      <c r="D565" t="s">
        <v>34</v>
      </c>
      <c r="E565" t="s">
        <v>38</v>
      </c>
      <c r="F565" s="1">
        <v>45480</v>
      </c>
      <c r="G565" s="1">
        <v>45511</v>
      </c>
      <c r="H565">
        <v>442867</v>
      </c>
      <c r="I565">
        <v>12001</v>
      </c>
      <c r="J565">
        <v>571</v>
      </c>
      <c r="K565">
        <v>3664.08</v>
      </c>
      <c r="L565">
        <v>12263.04</v>
      </c>
      <c r="M565">
        <v>2.71</v>
      </c>
      <c r="N565">
        <v>4.76</v>
      </c>
      <c r="O565">
        <v>0.31</v>
      </c>
      <c r="P565">
        <v>6.42</v>
      </c>
      <c r="Q565">
        <v>3.35</v>
      </c>
      <c r="R565">
        <v>234.68</v>
      </c>
    </row>
    <row r="566" spans="1:18" x14ac:dyDescent="0.3">
      <c r="A566" t="s">
        <v>1160</v>
      </c>
      <c r="B566" t="s">
        <v>1161</v>
      </c>
      <c r="C566" t="s">
        <v>20</v>
      </c>
      <c r="D566" t="s">
        <v>30</v>
      </c>
      <c r="E566" t="s">
        <v>31</v>
      </c>
      <c r="F566" s="1">
        <v>45561</v>
      </c>
      <c r="G566" s="1">
        <v>45594</v>
      </c>
      <c r="H566">
        <v>84039</v>
      </c>
      <c r="I566">
        <v>3084</v>
      </c>
      <c r="J566">
        <v>148</v>
      </c>
      <c r="K566">
        <v>18892.39</v>
      </c>
      <c r="L566">
        <v>61114.68</v>
      </c>
      <c r="M566">
        <v>3.67</v>
      </c>
      <c r="N566">
        <v>4.8099999999999996</v>
      </c>
      <c r="O566">
        <v>6.13</v>
      </c>
      <c r="P566">
        <v>127.65</v>
      </c>
      <c r="Q566">
        <v>3.23</v>
      </c>
      <c r="R566">
        <v>223.49</v>
      </c>
    </row>
    <row r="567" spans="1:18" x14ac:dyDescent="0.3">
      <c r="A567" t="s">
        <v>1162</v>
      </c>
      <c r="B567" t="s">
        <v>1163</v>
      </c>
      <c r="C567" t="s">
        <v>37</v>
      </c>
      <c r="D567" t="s">
        <v>34</v>
      </c>
      <c r="E567" t="s">
        <v>41</v>
      </c>
      <c r="F567" s="1">
        <v>45336</v>
      </c>
      <c r="G567" s="1">
        <v>45373</v>
      </c>
      <c r="H567">
        <v>370892</v>
      </c>
      <c r="I567">
        <v>16133</v>
      </c>
      <c r="J567">
        <v>2211</v>
      </c>
      <c r="K567">
        <v>4907.07</v>
      </c>
      <c r="L567">
        <v>21494.240000000002</v>
      </c>
      <c r="M567">
        <v>4.3499999999999996</v>
      </c>
      <c r="N567">
        <v>13.71</v>
      </c>
      <c r="O567">
        <v>0.3</v>
      </c>
      <c r="P567">
        <v>2.2200000000000002</v>
      </c>
      <c r="Q567">
        <v>4.38</v>
      </c>
      <c r="R567">
        <v>338.03</v>
      </c>
    </row>
    <row r="568" spans="1:18" x14ac:dyDescent="0.3">
      <c r="A568" t="s">
        <v>1164</v>
      </c>
      <c r="B568" t="s">
        <v>1165</v>
      </c>
      <c r="C568" t="s">
        <v>37</v>
      </c>
      <c r="D568" t="s">
        <v>57</v>
      </c>
      <c r="E568" t="s">
        <v>38</v>
      </c>
      <c r="F568" s="1">
        <v>45358</v>
      </c>
      <c r="G568" s="1">
        <v>45401</v>
      </c>
      <c r="H568">
        <v>369209</v>
      </c>
      <c r="I568">
        <v>33561</v>
      </c>
      <c r="J568">
        <v>3557</v>
      </c>
      <c r="K568">
        <v>3088.14</v>
      </c>
      <c r="L568">
        <v>14837.27</v>
      </c>
      <c r="M568">
        <v>9.09</v>
      </c>
      <c r="N568">
        <v>10.6</v>
      </c>
      <c r="O568">
        <v>0.09</v>
      </c>
      <c r="P568">
        <v>0.87</v>
      </c>
      <c r="Q568">
        <v>4.8</v>
      </c>
      <c r="R568">
        <v>380.46</v>
      </c>
    </row>
    <row r="569" spans="1:18" x14ac:dyDescent="0.3">
      <c r="A569" t="s">
        <v>1166</v>
      </c>
      <c r="B569" t="s">
        <v>1167</v>
      </c>
      <c r="C569" t="s">
        <v>25</v>
      </c>
      <c r="D569" t="s">
        <v>30</v>
      </c>
      <c r="E569" t="s">
        <v>38</v>
      </c>
      <c r="F569" s="1">
        <v>45292</v>
      </c>
      <c r="G569" s="1">
        <v>45306</v>
      </c>
      <c r="H569">
        <v>473614</v>
      </c>
      <c r="I569">
        <v>5257</v>
      </c>
      <c r="J569">
        <v>487</v>
      </c>
      <c r="K569">
        <v>15337.39</v>
      </c>
      <c r="L569">
        <v>98261.43</v>
      </c>
      <c r="M569">
        <v>1.1100000000000001</v>
      </c>
      <c r="N569">
        <v>9.27</v>
      </c>
      <c r="O569">
        <v>2.92</v>
      </c>
      <c r="P569">
        <v>31.49</v>
      </c>
      <c r="Q569">
        <v>6.41</v>
      </c>
      <c r="R569">
        <v>540.66999999999996</v>
      </c>
    </row>
    <row r="570" spans="1:18" x14ac:dyDescent="0.3">
      <c r="A570" t="s">
        <v>1168</v>
      </c>
      <c r="B570" t="s">
        <v>1169</v>
      </c>
      <c r="C570" t="s">
        <v>20</v>
      </c>
      <c r="D570" t="s">
        <v>30</v>
      </c>
      <c r="E570" t="s">
        <v>26</v>
      </c>
      <c r="F570" s="1">
        <v>45462</v>
      </c>
      <c r="G570" s="1">
        <v>45491</v>
      </c>
      <c r="H570">
        <v>436645</v>
      </c>
      <c r="I570">
        <v>25718</v>
      </c>
      <c r="J570">
        <v>2263</v>
      </c>
      <c r="K570">
        <v>24979.74</v>
      </c>
      <c r="L570">
        <v>96501.36</v>
      </c>
      <c r="M570">
        <v>5.89</v>
      </c>
      <c r="N570">
        <v>8.8000000000000007</v>
      </c>
      <c r="O570">
        <v>0.97</v>
      </c>
      <c r="P570">
        <v>11.04</v>
      </c>
      <c r="Q570">
        <v>3.86</v>
      </c>
      <c r="R570">
        <v>286.32</v>
      </c>
    </row>
    <row r="571" spans="1:18" x14ac:dyDescent="0.3">
      <c r="A571" t="s">
        <v>1170</v>
      </c>
      <c r="B571" t="s">
        <v>1171</v>
      </c>
      <c r="C571" t="s">
        <v>37</v>
      </c>
      <c r="D571" t="s">
        <v>34</v>
      </c>
      <c r="E571" t="s">
        <v>26</v>
      </c>
      <c r="F571" s="1">
        <v>45551</v>
      </c>
      <c r="G571" s="1">
        <v>45593</v>
      </c>
      <c r="H571">
        <v>385868</v>
      </c>
      <c r="I571">
        <v>20103</v>
      </c>
      <c r="J571">
        <v>2175</v>
      </c>
      <c r="K571">
        <v>4055.88</v>
      </c>
      <c r="L571">
        <v>13729.06</v>
      </c>
      <c r="M571">
        <v>5.21</v>
      </c>
      <c r="N571">
        <v>10.82</v>
      </c>
      <c r="O571">
        <v>0.2</v>
      </c>
      <c r="P571">
        <v>1.86</v>
      </c>
      <c r="Q571">
        <v>3.38</v>
      </c>
      <c r="R571">
        <v>238.5</v>
      </c>
    </row>
    <row r="572" spans="1:18" x14ac:dyDescent="0.3">
      <c r="A572" t="s">
        <v>1172</v>
      </c>
      <c r="B572" t="s">
        <v>1173</v>
      </c>
      <c r="C572" t="s">
        <v>44</v>
      </c>
      <c r="D572" t="s">
        <v>21</v>
      </c>
      <c r="E572" t="s">
        <v>26</v>
      </c>
      <c r="F572" s="1">
        <v>45381</v>
      </c>
      <c r="G572" s="1">
        <v>45400</v>
      </c>
      <c r="H572">
        <v>409575</v>
      </c>
      <c r="I572">
        <v>8478</v>
      </c>
      <c r="J572">
        <v>245</v>
      </c>
      <c r="K572">
        <v>9611.52</v>
      </c>
      <c r="L572">
        <v>60749.69</v>
      </c>
      <c r="M572">
        <v>2.0699999999999998</v>
      </c>
      <c r="N572">
        <v>2.89</v>
      </c>
      <c r="O572">
        <v>1.1299999999999999</v>
      </c>
      <c r="P572">
        <v>39.229999999999997</v>
      </c>
      <c r="Q572">
        <v>6.32</v>
      </c>
      <c r="R572">
        <v>532.04999999999995</v>
      </c>
    </row>
    <row r="573" spans="1:18" x14ac:dyDescent="0.3">
      <c r="A573" t="s">
        <v>1174</v>
      </c>
      <c r="B573" t="s">
        <v>1175</v>
      </c>
      <c r="C573" t="s">
        <v>44</v>
      </c>
      <c r="D573" t="s">
        <v>57</v>
      </c>
      <c r="E573" t="s">
        <v>38</v>
      </c>
      <c r="F573" s="1">
        <v>45566</v>
      </c>
      <c r="G573" s="1">
        <v>45594</v>
      </c>
      <c r="H573">
        <v>298774</v>
      </c>
      <c r="I573">
        <v>9769</v>
      </c>
      <c r="J573">
        <v>367</v>
      </c>
      <c r="K573">
        <v>8518.69</v>
      </c>
      <c r="L573">
        <v>41080.550000000003</v>
      </c>
      <c r="M573">
        <v>3.27</v>
      </c>
      <c r="N573">
        <v>3.76</v>
      </c>
      <c r="O573">
        <v>0.87</v>
      </c>
      <c r="P573">
        <v>23.21</v>
      </c>
      <c r="Q573">
        <v>4.82</v>
      </c>
      <c r="R573">
        <v>382.24</v>
      </c>
    </row>
    <row r="574" spans="1:18" x14ac:dyDescent="0.3">
      <c r="A574" t="s">
        <v>1176</v>
      </c>
      <c r="B574" t="s">
        <v>1177</v>
      </c>
      <c r="C574" t="s">
        <v>25</v>
      </c>
      <c r="D574" t="s">
        <v>30</v>
      </c>
      <c r="E574" t="s">
        <v>26</v>
      </c>
      <c r="F574" s="1">
        <v>45301</v>
      </c>
      <c r="G574" s="1">
        <v>45321</v>
      </c>
      <c r="H574">
        <v>487835</v>
      </c>
      <c r="I574">
        <v>8244</v>
      </c>
      <c r="J574">
        <v>737</v>
      </c>
      <c r="K574">
        <v>14851.16</v>
      </c>
      <c r="L574">
        <v>66804.929999999993</v>
      </c>
      <c r="M574">
        <v>1.69</v>
      </c>
      <c r="N574">
        <v>8.9499999999999993</v>
      </c>
      <c r="O574">
        <v>1.8</v>
      </c>
      <c r="P574">
        <v>20.149999999999999</v>
      </c>
      <c r="Q574">
        <v>4.5</v>
      </c>
      <c r="R574">
        <v>349.83</v>
      </c>
    </row>
    <row r="575" spans="1:18" x14ac:dyDescent="0.3">
      <c r="A575" t="s">
        <v>1178</v>
      </c>
      <c r="B575" t="s">
        <v>1179</v>
      </c>
      <c r="C575" t="s">
        <v>37</v>
      </c>
      <c r="D575" t="s">
        <v>57</v>
      </c>
      <c r="E575" t="s">
        <v>22</v>
      </c>
      <c r="F575" s="1">
        <v>45612</v>
      </c>
      <c r="G575" s="1">
        <v>45653</v>
      </c>
      <c r="H575">
        <v>84714</v>
      </c>
      <c r="I575">
        <v>8318</v>
      </c>
      <c r="J575">
        <v>898</v>
      </c>
      <c r="K575">
        <v>640.28</v>
      </c>
      <c r="L575">
        <v>4114.62</v>
      </c>
      <c r="M575">
        <v>9.82</v>
      </c>
      <c r="N575">
        <v>10.8</v>
      </c>
      <c r="O575">
        <v>0.08</v>
      </c>
      <c r="P575">
        <v>0.71</v>
      </c>
      <c r="Q575">
        <v>6.43</v>
      </c>
      <c r="R575">
        <v>542.63</v>
      </c>
    </row>
    <row r="576" spans="1:18" x14ac:dyDescent="0.3">
      <c r="A576" t="s">
        <v>1180</v>
      </c>
      <c r="B576" t="s">
        <v>1181</v>
      </c>
      <c r="C576" t="s">
        <v>29</v>
      </c>
      <c r="D576" t="s">
        <v>30</v>
      </c>
      <c r="E576" t="s">
        <v>41</v>
      </c>
      <c r="F576" s="1">
        <v>45308</v>
      </c>
      <c r="G576" s="1">
        <v>45332</v>
      </c>
      <c r="H576">
        <v>362051</v>
      </c>
      <c r="I576">
        <v>6697</v>
      </c>
      <c r="J576">
        <v>395</v>
      </c>
      <c r="K576">
        <v>7624.22</v>
      </c>
      <c r="L576">
        <v>44679.360000000001</v>
      </c>
      <c r="M576">
        <v>1.85</v>
      </c>
      <c r="N576">
        <v>5.91</v>
      </c>
      <c r="O576">
        <v>1.1399999999999999</v>
      </c>
      <c r="P576">
        <v>19.3</v>
      </c>
      <c r="Q576">
        <v>5.86</v>
      </c>
      <c r="R576">
        <v>486.02</v>
      </c>
    </row>
    <row r="577" spans="1:18" x14ac:dyDescent="0.3">
      <c r="A577" t="s">
        <v>1182</v>
      </c>
      <c r="B577" t="s">
        <v>1183</v>
      </c>
      <c r="C577" t="s">
        <v>25</v>
      </c>
      <c r="D577" t="s">
        <v>21</v>
      </c>
      <c r="E577" t="s">
        <v>38</v>
      </c>
      <c r="F577" s="1">
        <v>45381</v>
      </c>
      <c r="G577" s="1">
        <v>45395</v>
      </c>
      <c r="H577">
        <v>174592</v>
      </c>
      <c r="I577">
        <v>2496</v>
      </c>
      <c r="J577">
        <v>269</v>
      </c>
      <c r="K577">
        <v>8842.06</v>
      </c>
      <c r="L577">
        <v>38577.480000000003</v>
      </c>
      <c r="M577">
        <v>1.43</v>
      </c>
      <c r="N577">
        <v>10.81</v>
      </c>
      <c r="O577">
        <v>3.54</v>
      </c>
      <c r="P577">
        <v>32.869999999999997</v>
      </c>
      <c r="Q577">
        <v>4.3600000000000003</v>
      </c>
      <c r="R577">
        <v>336.3</v>
      </c>
    </row>
    <row r="578" spans="1:18" x14ac:dyDescent="0.3">
      <c r="A578" t="s">
        <v>1184</v>
      </c>
      <c r="B578" t="s">
        <v>1185</v>
      </c>
      <c r="C578" t="s">
        <v>44</v>
      </c>
      <c r="D578" t="s">
        <v>21</v>
      </c>
      <c r="E578" t="s">
        <v>41</v>
      </c>
      <c r="F578" s="1">
        <v>45389</v>
      </c>
      <c r="G578" s="1">
        <v>45417</v>
      </c>
      <c r="H578">
        <v>98551</v>
      </c>
      <c r="I578">
        <v>2315</v>
      </c>
      <c r="J578">
        <v>36</v>
      </c>
      <c r="K578">
        <v>8533.2900000000009</v>
      </c>
      <c r="L578">
        <v>36268.57</v>
      </c>
      <c r="M578">
        <v>2.35</v>
      </c>
      <c r="N578">
        <v>1.59</v>
      </c>
      <c r="O578">
        <v>3.69</v>
      </c>
      <c r="P578">
        <v>237.04</v>
      </c>
      <c r="Q578">
        <v>4.25</v>
      </c>
      <c r="R578">
        <v>325.02</v>
      </c>
    </row>
    <row r="579" spans="1:18" x14ac:dyDescent="0.3">
      <c r="A579" t="s">
        <v>1186</v>
      </c>
      <c r="B579" t="s">
        <v>1187</v>
      </c>
      <c r="C579" t="s">
        <v>25</v>
      </c>
      <c r="D579" t="s">
        <v>57</v>
      </c>
      <c r="E579" t="s">
        <v>22</v>
      </c>
      <c r="F579" s="1">
        <v>45359</v>
      </c>
      <c r="G579" s="1">
        <v>45379</v>
      </c>
      <c r="H579">
        <v>125127</v>
      </c>
      <c r="I579">
        <v>2640</v>
      </c>
      <c r="J579">
        <v>150</v>
      </c>
      <c r="K579">
        <v>19716.38</v>
      </c>
      <c r="L579">
        <v>85227.199999999997</v>
      </c>
      <c r="M579">
        <v>2.11</v>
      </c>
      <c r="N579">
        <v>5.69</v>
      </c>
      <c r="O579">
        <v>7.47</v>
      </c>
      <c r="P579">
        <v>131.44</v>
      </c>
      <c r="Q579">
        <v>4.32</v>
      </c>
      <c r="R579">
        <v>332.27</v>
      </c>
    </row>
    <row r="580" spans="1:18" x14ac:dyDescent="0.3">
      <c r="A580" t="s">
        <v>1188</v>
      </c>
      <c r="B580" t="s">
        <v>1189</v>
      </c>
      <c r="C580" t="s">
        <v>20</v>
      </c>
      <c r="D580" t="s">
        <v>30</v>
      </c>
      <c r="E580" t="s">
        <v>38</v>
      </c>
      <c r="F580" s="1">
        <v>45596</v>
      </c>
      <c r="G580" s="1">
        <v>45608</v>
      </c>
      <c r="H580">
        <v>424172</v>
      </c>
      <c r="I580">
        <v>25280</v>
      </c>
      <c r="J580">
        <v>1188</v>
      </c>
      <c r="K580">
        <v>11219.63</v>
      </c>
      <c r="L580">
        <v>24662.26</v>
      </c>
      <c r="M580">
        <v>5.96</v>
      </c>
      <c r="N580">
        <v>4.7</v>
      </c>
      <c r="O580">
        <v>0.44</v>
      </c>
      <c r="P580">
        <v>9.44</v>
      </c>
      <c r="Q580">
        <v>2.2000000000000002</v>
      </c>
      <c r="R580">
        <v>119.81</v>
      </c>
    </row>
    <row r="581" spans="1:18" x14ac:dyDescent="0.3">
      <c r="A581" t="s">
        <v>1190</v>
      </c>
      <c r="B581" t="s">
        <v>1191</v>
      </c>
      <c r="C581" t="s">
        <v>44</v>
      </c>
      <c r="D581" t="s">
        <v>30</v>
      </c>
      <c r="E581" t="s">
        <v>26</v>
      </c>
      <c r="F581" s="1">
        <v>45451</v>
      </c>
      <c r="G581" s="1">
        <v>45471</v>
      </c>
      <c r="H581">
        <v>104055</v>
      </c>
      <c r="I581">
        <v>2653</v>
      </c>
      <c r="J581">
        <v>101</v>
      </c>
      <c r="K581">
        <v>6406.01</v>
      </c>
      <c r="L581">
        <v>29461.360000000001</v>
      </c>
      <c r="M581">
        <v>2.5499999999999998</v>
      </c>
      <c r="N581">
        <v>3.81</v>
      </c>
      <c r="O581">
        <v>2.41</v>
      </c>
      <c r="P581">
        <v>63.43</v>
      </c>
      <c r="Q581">
        <v>4.5999999999999996</v>
      </c>
      <c r="R581">
        <v>359.9</v>
      </c>
    </row>
    <row r="582" spans="1:18" x14ac:dyDescent="0.3">
      <c r="A582" t="s">
        <v>1192</v>
      </c>
      <c r="B582" t="s">
        <v>1193</v>
      </c>
      <c r="C582" t="s">
        <v>44</v>
      </c>
      <c r="D582" t="s">
        <v>34</v>
      </c>
      <c r="E582" t="s">
        <v>41</v>
      </c>
      <c r="F582" s="1">
        <v>45368</v>
      </c>
      <c r="G582" s="1">
        <v>45385</v>
      </c>
      <c r="H582">
        <v>200243</v>
      </c>
      <c r="I582">
        <v>3844</v>
      </c>
      <c r="J582">
        <v>100</v>
      </c>
      <c r="K582">
        <v>8013.95</v>
      </c>
      <c r="L582">
        <v>20270.72</v>
      </c>
      <c r="M582">
        <v>1.92</v>
      </c>
      <c r="N582">
        <v>2.62</v>
      </c>
      <c r="O582">
        <v>2.08</v>
      </c>
      <c r="P582">
        <v>80.14</v>
      </c>
      <c r="Q582">
        <v>2.5299999999999998</v>
      </c>
      <c r="R582">
        <v>152.94</v>
      </c>
    </row>
    <row r="583" spans="1:18" x14ac:dyDescent="0.3">
      <c r="A583" t="s">
        <v>1194</v>
      </c>
      <c r="B583" t="s">
        <v>1195</v>
      </c>
      <c r="C583" t="s">
        <v>44</v>
      </c>
      <c r="D583" t="s">
        <v>21</v>
      </c>
      <c r="E583" t="s">
        <v>26</v>
      </c>
      <c r="F583" s="1">
        <v>45430</v>
      </c>
      <c r="G583" s="1">
        <v>45446</v>
      </c>
      <c r="H583">
        <v>376602</v>
      </c>
      <c r="I583">
        <v>10017</v>
      </c>
      <c r="J583">
        <v>186</v>
      </c>
      <c r="K583">
        <v>9281.61</v>
      </c>
      <c r="L583">
        <v>41508.71</v>
      </c>
      <c r="M583">
        <v>2.66</v>
      </c>
      <c r="N583">
        <v>1.86</v>
      </c>
      <c r="O583">
        <v>0.93</v>
      </c>
      <c r="P583">
        <v>49.9</v>
      </c>
      <c r="Q583">
        <v>4.47</v>
      </c>
      <c r="R583">
        <v>347.21</v>
      </c>
    </row>
    <row r="584" spans="1:18" x14ac:dyDescent="0.3">
      <c r="A584" t="s">
        <v>1196</v>
      </c>
      <c r="B584" t="s">
        <v>1197</v>
      </c>
      <c r="C584" t="s">
        <v>44</v>
      </c>
      <c r="D584" t="s">
        <v>34</v>
      </c>
      <c r="E584" t="s">
        <v>41</v>
      </c>
      <c r="F584" s="1">
        <v>45306</v>
      </c>
      <c r="G584" s="1">
        <v>45343</v>
      </c>
      <c r="H584">
        <v>87351</v>
      </c>
      <c r="I584">
        <v>1755</v>
      </c>
      <c r="J584">
        <v>81</v>
      </c>
      <c r="K584">
        <v>9257.2099999999991</v>
      </c>
      <c r="L584">
        <v>20627.54</v>
      </c>
      <c r="M584">
        <v>2.0099999999999998</v>
      </c>
      <c r="N584">
        <v>4.62</v>
      </c>
      <c r="O584">
        <v>5.27</v>
      </c>
      <c r="P584">
        <v>114.29</v>
      </c>
      <c r="Q584">
        <v>2.23</v>
      </c>
      <c r="R584">
        <v>122.83</v>
      </c>
    </row>
    <row r="585" spans="1:18" x14ac:dyDescent="0.3">
      <c r="A585" t="s">
        <v>1198</v>
      </c>
      <c r="B585" t="s">
        <v>1199</v>
      </c>
      <c r="C585" t="s">
        <v>20</v>
      </c>
      <c r="D585" t="s">
        <v>21</v>
      </c>
      <c r="E585" t="s">
        <v>38</v>
      </c>
      <c r="F585" s="1">
        <v>45614</v>
      </c>
      <c r="G585" s="1">
        <v>45649</v>
      </c>
      <c r="H585">
        <v>78206</v>
      </c>
      <c r="I585">
        <v>2221</v>
      </c>
      <c r="J585">
        <v>141</v>
      </c>
      <c r="K585">
        <v>19093.55</v>
      </c>
      <c r="L585">
        <v>114766.39</v>
      </c>
      <c r="M585">
        <v>2.84</v>
      </c>
      <c r="N585">
        <v>6.35</v>
      </c>
      <c r="O585">
        <v>8.6</v>
      </c>
      <c r="P585">
        <v>135.41999999999999</v>
      </c>
      <c r="Q585">
        <v>6.01</v>
      </c>
      <c r="R585">
        <v>501.07</v>
      </c>
    </row>
    <row r="586" spans="1:18" x14ac:dyDescent="0.3">
      <c r="A586" t="s">
        <v>1200</v>
      </c>
      <c r="B586" t="s">
        <v>1201</v>
      </c>
      <c r="C586" t="s">
        <v>37</v>
      </c>
      <c r="D586" t="s">
        <v>57</v>
      </c>
      <c r="E586" t="s">
        <v>22</v>
      </c>
      <c r="F586" s="1">
        <v>45530</v>
      </c>
      <c r="G586" s="1">
        <v>45573</v>
      </c>
      <c r="H586">
        <v>224237</v>
      </c>
      <c r="I586">
        <v>19957</v>
      </c>
      <c r="J586">
        <v>3019</v>
      </c>
      <c r="K586">
        <v>3518.92</v>
      </c>
      <c r="L586">
        <v>15485.65</v>
      </c>
      <c r="M586">
        <v>8.9</v>
      </c>
      <c r="N586">
        <v>15.13</v>
      </c>
      <c r="O586">
        <v>0.18</v>
      </c>
      <c r="P586">
        <v>1.17</v>
      </c>
      <c r="Q586">
        <v>4.4000000000000004</v>
      </c>
      <c r="R586">
        <v>340.07</v>
      </c>
    </row>
    <row r="587" spans="1:18" x14ac:dyDescent="0.3">
      <c r="A587" t="s">
        <v>1202</v>
      </c>
      <c r="B587" t="s">
        <v>1203</v>
      </c>
      <c r="C587" t="s">
        <v>29</v>
      </c>
      <c r="D587" t="s">
        <v>21</v>
      </c>
      <c r="E587" t="s">
        <v>38</v>
      </c>
      <c r="F587" s="1">
        <v>45410</v>
      </c>
      <c r="G587" s="1">
        <v>45431</v>
      </c>
      <c r="H587">
        <v>100993</v>
      </c>
      <c r="I587">
        <v>2898</v>
      </c>
      <c r="J587">
        <v>157</v>
      </c>
      <c r="K587">
        <v>13653.24</v>
      </c>
      <c r="L587">
        <v>55900.25</v>
      </c>
      <c r="M587">
        <v>2.87</v>
      </c>
      <c r="N587">
        <v>5.42</v>
      </c>
      <c r="O587">
        <v>4.71</v>
      </c>
      <c r="P587">
        <v>86.96</v>
      </c>
      <c r="Q587">
        <v>4.09</v>
      </c>
      <c r="R587">
        <v>309.43</v>
      </c>
    </row>
    <row r="588" spans="1:18" x14ac:dyDescent="0.3">
      <c r="A588" t="s">
        <v>1204</v>
      </c>
      <c r="B588" t="s">
        <v>1205</v>
      </c>
      <c r="C588" t="s">
        <v>29</v>
      </c>
      <c r="D588" t="s">
        <v>57</v>
      </c>
      <c r="E588" t="s">
        <v>22</v>
      </c>
      <c r="F588" s="1">
        <v>45458</v>
      </c>
      <c r="G588" s="1">
        <v>45494</v>
      </c>
      <c r="H588">
        <v>255561</v>
      </c>
      <c r="I588">
        <v>5239</v>
      </c>
      <c r="J588">
        <v>345</v>
      </c>
      <c r="K588">
        <v>7954.92</v>
      </c>
      <c r="L588">
        <v>46723.72</v>
      </c>
      <c r="M588">
        <v>2.0499999999999998</v>
      </c>
      <c r="N588">
        <v>6.59</v>
      </c>
      <c r="O588">
        <v>1.52</v>
      </c>
      <c r="P588">
        <v>23.06</v>
      </c>
      <c r="Q588">
        <v>5.87</v>
      </c>
      <c r="R588">
        <v>487.36</v>
      </c>
    </row>
    <row r="589" spans="1:18" x14ac:dyDescent="0.3">
      <c r="A589" t="s">
        <v>1206</v>
      </c>
      <c r="B589" t="s">
        <v>1207</v>
      </c>
      <c r="C589" t="s">
        <v>25</v>
      </c>
      <c r="D589" t="s">
        <v>21</v>
      </c>
      <c r="E589" t="s">
        <v>26</v>
      </c>
      <c r="F589" s="1">
        <v>45470</v>
      </c>
      <c r="G589" s="1">
        <v>45515</v>
      </c>
      <c r="H589">
        <v>299212</v>
      </c>
      <c r="I589">
        <v>2962</v>
      </c>
      <c r="J589">
        <v>247</v>
      </c>
      <c r="K589">
        <v>17532.259999999998</v>
      </c>
      <c r="L589">
        <v>57333.26</v>
      </c>
      <c r="M589">
        <v>0.99</v>
      </c>
      <c r="N589">
        <v>8.35</v>
      </c>
      <c r="O589">
        <v>5.92</v>
      </c>
      <c r="P589">
        <v>70.98</v>
      </c>
      <c r="Q589">
        <v>3.27</v>
      </c>
      <c r="R589">
        <v>227.02</v>
      </c>
    </row>
    <row r="590" spans="1:18" x14ac:dyDescent="0.3">
      <c r="A590" t="s">
        <v>1208</v>
      </c>
      <c r="B590" t="s">
        <v>1209</v>
      </c>
      <c r="C590" t="s">
        <v>37</v>
      </c>
      <c r="D590" t="s">
        <v>34</v>
      </c>
      <c r="E590" t="s">
        <v>31</v>
      </c>
      <c r="F590" s="1">
        <v>45328</v>
      </c>
      <c r="G590" s="1">
        <v>45354</v>
      </c>
      <c r="H590">
        <v>103966</v>
      </c>
      <c r="I590">
        <v>6685</v>
      </c>
      <c r="J590">
        <v>1012</v>
      </c>
      <c r="K590">
        <v>981.42</v>
      </c>
      <c r="L590">
        <v>4419.01</v>
      </c>
      <c r="M590">
        <v>6.43</v>
      </c>
      <c r="N590">
        <v>15.14</v>
      </c>
      <c r="O590">
        <v>0.15</v>
      </c>
      <c r="P590">
        <v>0.97</v>
      </c>
      <c r="Q590">
        <v>4.5</v>
      </c>
      <c r="R590">
        <v>350.27</v>
      </c>
    </row>
    <row r="591" spans="1:18" x14ac:dyDescent="0.3">
      <c r="A591" t="s">
        <v>1210</v>
      </c>
      <c r="B591" t="s">
        <v>1211</v>
      </c>
      <c r="C591" t="s">
        <v>37</v>
      </c>
      <c r="D591" t="s">
        <v>30</v>
      </c>
      <c r="E591" t="s">
        <v>38</v>
      </c>
      <c r="F591" s="1">
        <v>45488</v>
      </c>
      <c r="G591" s="1">
        <v>45499</v>
      </c>
      <c r="H591">
        <v>359610</v>
      </c>
      <c r="I591">
        <v>23302</v>
      </c>
      <c r="J591">
        <v>3311</v>
      </c>
      <c r="K591">
        <v>2965.77</v>
      </c>
      <c r="L591">
        <v>18929.060000000001</v>
      </c>
      <c r="M591">
        <v>6.48</v>
      </c>
      <c r="N591">
        <v>14.21</v>
      </c>
      <c r="O591">
        <v>0.13</v>
      </c>
      <c r="P591">
        <v>0.9</v>
      </c>
      <c r="Q591">
        <v>6.38</v>
      </c>
      <c r="R591">
        <v>538.25</v>
      </c>
    </row>
    <row r="592" spans="1:18" x14ac:dyDescent="0.3">
      <c r="A592" t="s">
        <v>1212</v>
      </c>
      <c r="B592" t="s">
        <v>1213</v>
      </c>
      <c r="C592" t="s">
        <v>44</v>
      </c>
      <c r="D592" t="s">
        <v>34</v>
      </c>
      <c r="E592" t="s">
        <v>31</v>
      </c>
      <c r="F592" s="1">
        <v>45412</v>
      </c>
      <c r="G592" s="1">
        <v>45430</v>
      </c>
      <c r="H592">
        <v>276045</v>
      </c>
      <c r="I592">
        <v>8943</v>
      </c>
      <c r="J592">
        <v>270</v>
      </c>
      <c r="K592">
        <v>12341.58</v>
      </c>
      <c r="L592">
        <v>54924.61</v>
      </c>
      <c r="M592">
        <v>3.24</v>
      </c>
      <c r="N592">
        <v>3.02</v>
      </c>
      <c r="O592">
        <v>1.38</v>
      </c>
      <c r="P592">
        <v>45.71</v>
      </c>
      <c r="Q592">
        <v>4.45</v>
      </c>
      <c r="R592">
        <v>345.04</v>
      </c>
    </row>
    <row r="593" spans="1:18" x14ac:dyDescent="0.3">
      <c r="A593" t="s">
        <v>1214</v>
      </c>
      <c r="B593" t="s">
        <v>1215</v>
      </c>
      <c r="C593" t="s">
        <v>20</v>
      </c>
      <c r="D593" t="s">
        <v>30</v>
      </c>
      <c r="E593" t="s">
        <v>26</v>
      </c>
      <c r="F593" s="1">
        <v>45449</v>
      </c>
      <c r="G593" s="1">
        <v>45481</v>
      </c>
      <c r="H593">
        <v>360464</v>
      </c>
      <c r="I593">
        <v>17590</v>
      </c>
      <c r="J593">
        <v>1046</v>
      </c>
      <c r="K593">
        <v>6953.08</v>
      </c>
      <c r="L593">
        <v>27836.47</v>
      </c>
      <c r="M593">
        <v>4.88</v>
      </c>
      <c r="N593">
        <v>5.95</v>
      </c>
      <c r="O593">
        <v>0.4</v>
      </c>
      <c r="P593">
        <v>6.65</v>
      </c>
      <c r="Q593">
        <v>4</v>
      </c>
      <c r="R593">
        <v>300.35000000000002</v>
      </c>
    </row>
    <row r="594" spans="1:18" x14ac:dyDescent="0.3">
      <c r="A594" t="s">
        <v>1216</v>
      </c>
      <c r="B594" t="s">
        <v>1217</v>
      </c>
      <c r="C594" t="s">
        <v>20</v>
      </c>
      <c r="D594" t="s">
        <v>21</v>
      </c>
      <c r="E594" t="s">
        <v>31</v>
      </c>
      <c r="F594" s="1">
        <v>45403</v>
      </c>
      <c r="G594" s="1">
        <v>45418</v>
      </c>
      <c r="H594">
        <v>454406</v>
      </c>
      <c r="I594">
        <v>26264</v>
      </c>
      <c r="J594">
        <v>1565</v>
      </c>
      <c r="K594">
        <v>17899.78</v>
      </c>
      <c r="L594">
        <v>40751.89</v>
      </c>
      <c r="M594">
        <v>5.78</v>
      </c>
      <c r="N594">
        <v>5.96</v>
      </c>
      <c r="O594">
        <v>0.68</v>
      </c>
      <c r="P594">
        <v>11.44</v>
      </c>
      <c r="Q594">
        <v>2.2799999999999998</v>
      </c>
      <c r="R594">
        <v>127.67</v>
      </c>
    </row>
    <row r="595" spans="1:18" x14ac:dyDescent="0.3">
      <c r="A595" t="s">
        <v>1218</v>
      </c>
      <c r="B595" t="s">
        <v>1219</v>
      </c>
      <c r="C595" t="s">
        <v>37</v>
      </c>
      <c r="D595" t="s">
        <v>21</v>
      </c>
      <c r="E595" t="s">
        <v>41</v>
      </c>
      <c r="F595" s="1">
        <v>45392</v>
      </c>
      <c r="G595" s="1">
        <v>45412</v>
      </c>
      <c r="H595">
        <v>396492</v>
      </c>
      <c r="I595">
        <v>19428</v>
      </c>
      <c r="J595">
        <v>2585</v>
      </c>
      <c r="K595">
        <v>2254.92</v>
      </c>
      <c r="L595">
        <v>10374.19</v>
      </c>
      <c r="M595">
        <v>4.9000000000000004</v>
      </c>
      <c r="N595">
        <v>13.31</v>
      </c>
      <c r="O595">
        <v>0.12</v>
      </c>
      <c r="P595">
        <v>0.87</v>
      </c>
      <c r="Q595">
        <v>4.5999999999999996</v>
      </c>
      <c r="R595">
        <v>360.07</v>
      </c>
    </row>
    <row r="596" spans="1:18" x14ac:dyDescent="0.3">
      <c r="A596" t="s">
        <v>1220</v>
      </c>
      <c r="B596" t="s">
        <v>1221</v>
      </c>
      <c r="C596" t="s">
        <v>44</v>
      </c>
      <c r="D596" t="s">
        <v>57</v>
      </c>
      <c r="E596" t="s">
        <v>31</v>
      </c>
      <c r="F596" s="1">
        <v>45468</v>
      </c>
      <c r="G596" s="1">
        <v>45480</v>
      </c>
      <c r="H596">
        <v>466466</v>
      </c>
      <c r="I596">
        <v>16652</v>
      </c>
      <c r="J596">
        <v>427</v>
      </c>
      <c r="K596">
        <v>14291.67</v>
      </c>
      <c r="L596">
        <v>56541.73</v>
      </c>
      <c r="M596">
        <v>3.57</v>
      </c>
      <c r="N596">
        <v>2.57</v>
      </c>
      <c r="O596">
        <v>0.86</v>
      </c>
      <c r="P596">
        <v>33.47</v>
      </c>
      <c r="Q596">
        <v>3.96</v>
      </c>
      <c r="R596">
        <v>295.63</v>
      </c>
    </row>
    <row r="597" spans="1:18" x14ac:dyDescent="0.3">
      <c r="A597" t="s">
        <v>1222</v>
      </c>
      <c r="B597" t="s">
        <v>1223</v>
      </c>
      <c r="C597" t="s">
        <v>37</v>
      </c>
      <c r="D597" t="s">
        <v>21</v>
      </c>
      <c r="E597" t="s">
        <v>31</v>
      </c>
      <c r="F597" s="1">
        <v>45573</v>
      </c>
      <c r="G597" s="1">
        <v>45583</v>
      </c>
      <c r="H597">
        <v>317609</v>
      </c>
      <c r="I597">
        <v>20422</v>
      </c>
      <c r="J597">
        <v>1895</v>
      </c>
      <c r="K597">
        <v>1823.83</v>
      </c>
      <c r="L597">
        <v>6677.96</v>
      </c>
      <c r="M597">
        <v>6.43</v>
      </c>
      <c r="N597">
        <v>9.2799999999999994</v>
      </c>
      <c r="O597">
        <v>0.09</v>
      </c>
      <c r="P597">
        <v>0.96</v>
      </c>
      <c r="Q597">
        <v>3.66</v>
      </c>
      <c r="R597">
        <v>266.14999999999998</v>
      </c>
    </row>
    <row r="598" spans="1:18" x14ac:dyDescent="0.3">
      <c r="A598" t="s">
        <v>1224</v>
      </c>
      <c r="B598" t="s">
        <v>1225</v>
      </c>
      <c r="C598" t="s">
        <v>20</v>
      </c>
      <c r="D598" t="s">
        <v>57</v>
      </c>
      <c r="E598" t="s">
        <v>26</v>
      </c>
      <c r="F598" s="1">
        <v>45454</v>
      </c>
      <c r="G598" s="1">
        <v>45485</v>
      </c>
      <c r="H598">
        <v>197958</v>
      </c>
      <c r="I598">
        <v>11798</v>
      </c>
      <c r="J598">
        <v>638</v>
      </c>
      <c r="K598">
        <v>19044.439999999999</v>
      </c>
      <c r="L598">
        <v>71877.67</v>
      </c>
      <c r="M598">
        <v>5.96</v>
      </c>
      <c r="N598">
        <v>5.41</v>
      </c>
      <c r="O598">
        <v>1.61</v>
      </c>
      <c r="P598">
        <v>29.85</v>
      </c>
      <c r="Q598">
        <v>3.77</v>
      </c>
      <c r="R598">
        <v>277.42</v>
      </c>
    </row>
    <row r="599" spans="1:18" x14ac:dyDescent="0.3">
      <c r="A599" t="s">
        <v>1226</v>
      </c>
      <c r="B599" t="s">
        <v>1227</v>
      </c>
      <c r="C599" t="s">
        <v>25</v>
      </c>
      <c r="D599" t="s">
        <v>30</v>
      </c>
      <c r="E599" t="s">
        <v>38</v>
      </c>
      <c r="F599" s="1">
        <v>45476</v>
      </c>
      <c r="G599" s="1">
        <v>45509</v>
      </c>
      <c r="H599">
        <v>335799</v>
      </c>
      <c r="I599">
        <v>3895</v>
      </c>
      <c r="J599">
        <v>241</v>
      </c>
      <c r="K599">
        <v>6225.1</v>
      </c>
      <c r="L599">
        <v>28009.200000000001</v>
      </c>
      <c r="M599">
        <v>1.1599999999999999</v>
      </c>
      <c r="N599">
        <v>6.21</v>
      </c>
      <c r="O599">
        <v>1.6</v>
      </c>
      <c r="P599">
        <v>25.83</v>
      </c>
      <c r="Q599">
        <v>4.5</v>
      </c>
      <c r="R599">
        <v>349.94</v>
      </c>
    </row>
    <row r="600" spans="1:18" x14ac:dyDescent="0.3">
      <c r="A600" t="s">
        <v>1228</v>
      </c>
      <c r="B600" t="s">
        <v>1229</v>
      </c>
      <c r="C600" t="s">
        <v>29</v>
      </c>
      <c r="D600" t="s">
        <v>57</v>
      </c>
      <c r="E600" t="s">
        <v>41</v>
      </c>
      <c r="F600" s="1">
        <v>45515</v>
      </c>
      <c r="G600" s="1">
        <v>45530</v>
      </c>
      <c r="H600">
        <v>120400</v>
      </c>
      <c r="I600">
        <v>1842</v>
      </c>
      <c r="J600">
        <v>96</v>
      </c>
      <c r="K600">
        <v>5159.9399999999996</v>
      </c>
      <c r="L600">
        <v>30866.76</v>
      </c>
      <c r="M600">
        <v>1.53</v>
      </c>
      <c r="N600">
        <v>5.24</v>
      </c>
      <c r="O600">
        <v>2.8</v>
      </c>
      <c r="P600">
        <v>53.75</v>
      </c>
      <c r="Q600">
        <v>5.98</v>
      </c>
      <c r="R600">
        <v>498.2</v>
      </c>
    </row>
    <row r="601" spans="1:18" x14ac:dyDescent="0.3">
      <c r="A601" t="s">
        <v>1230</v>
      </c>
      <c r="B601" t="s">
        <v>1231</v>
      </c>
      <c r="C601" t="s">
        <v>20</v>
      </c>
      <c r="D601" t="s">
        <v>34</v>
      </c>
      <c r="E601" t="s">
        <v>38</v>
      </c>
      <c r="F601" s="1">
        <v>45524</v>
      </c>
      <c r="G601" s="1">
        <v>45563</v>
      </c>
      <c r="H601">
        <v>289090</v>
      </c>
      <c r="I601">
        <v>17547</v>
      </c>
      <c r="J601">
        <v>1433</v>
      </c>
      <c r="K601">
        <v>23606.22</v>
      </c>
      <c r="L601">
        <v>113418.87</v>
      </c>
      <c r="M601">
        <v>6.07</v>
      </c>
      <c r="N601">
        <v>8.17</v>
      </c>
      <c r="O601">
        <v>1.35</v>
      </c>
      <c r="P601">
        <v>16.47</v>
      </c>
      <c r="Q601">
        <v>4.8</v>
      </c>
      <c r="R601">
        <v>380.46</v>
      </c>
    </row>
    <row r="602" spans="1:18" x14ac:dyDescent="0.3">
      <c r="A602" t="s">
        <v>1232</v>
      </c>
      <c r="B602" t="s">
        <v>1233</v>
      </c>
      <c r="C602" t="s">
        <v>25</v>
      </c>
      <c r="D602" t="s">
        <v>30</v>
      </c>
      <c r="E602" t="s">
        <v>38</v>
      </c>
      <c r="F602" s="1">
        <v>45413</v>
      </c>
      <c r="G602" s="1">
        <v>45452</v>
      </c>
      <c r="H602">
        <v>236283</v>
      </c>
      <c r="I602">
        <v>2788</v>
      </c>
      <c r="J602">
        <v>222</v>
      </c>
      <c r="K602">
        <v>4118.88</v>
      </c>
      <c r="L602">
        <v>17471.080000000002</v>
      </c>
      <c r="M602">
        <v>1.18</v>
      </c>
      <c r="N602">
        <v>7.97</v>
      </c>
      <c r="O602">
        <v>1.48</v>
      </c>
      <c r="P602">
        <v>18.55</v>
      </c>
      <c r="Q602">
        <v>4.24</v>
      </c>
      <c r="R602">
        <v>324.17</v>
      </c>
    </row>
    <row r="603" spans="1:18" x14ac:dyDescent="0.3">
      <c r="A603" t="s">
        <v>1234</v>
      </c>
      <c r="B603" t="s">
        <v>1235</v>
      </c>
      <c r="C603" t="s">
        <v>44</v>
      </c>
      <c r="D603" t="s">
        <v>30</v>
      </c>
      <c r="E603" t="s">
        <v>31</v>
      </c>
      <c r="F603" s="1">
        <v>45349</v>
      </c>
      <c r="G603" s="1">
        <v>45393</v>
      </c>
      <c r="H603">
        <v>352174</v>
      </c>
      <c r="I603">
        <v>7571</v>
      </c>
      <c r="J603">
        <v>372</v>
      </c>
      <c r="K603">
        <v>9601.8700000000008</v>
      </c>
      <c r="L603">
        <v>49660.6</v>
      </c>
      <c r="M603">
        <v>2.15</v>
      </c>
      <c r="N603">
        <v>4.92</v>
      </c>
      <c r="O603">
        <v>1.27</v>
      </c>
      <c r="P603">
        <v>25.81</v>
      </c>
      <c r="Q603">
        <v>5.17</v>
      </c>
      <c r="R603">
        <v>417.2</v>
      </c>
    </row>
    <row r="604" spans="1:18" x14ac:dyDescent="0.3">
      <c r="A604" t="s">
        <v>1236</v>
      </c>
      <c r="B604" t="s">
        <v>1237</v>
      </c>
      <c r="C604" t="s">
        <v>25</v>
      </c>
      <c r="D604" t="s">
        <v>21</v>
      </c>
      <c r="E604" t="s">
        <v>41</v>
      </c>
      <c r="F604" s="1">
        <v>45530</v>
      </c>
      <c r="G604" s="1">
        <v>45570</v>
      </c>
      <c r="H604">
        <v>432827</v>
      </c>
      <c r="I604">
        <v>8829</v>
      </c>
      <c r="J604">
        <v>1049</v>
      </c>
      <c r="K604">
        <v>19738.689999999999</v>
      </c>
      <c r="L604">
        <v>108659.79</v>
      </c>
      <c r="M604">
        <v>2.04</v>
      </c>
      <c r="N604">
        <v>11.89</v>
      </c>
      <c r="O604">
        <v>2.2400000000000002</v>
      </c>
      <c r="P604">
        <v>18.82</v>
      </c>
      <c r="Q604">
        <v>5.5</v>
      </c>
      <c r="R604">
        <v>450.49</v>
      </c>
    </row>
    <row r="605" spans="1:18" x14ac:dyDescent="0.3">
      <c r="A605" t="s">
        <v>1238</v>
      </c>
      <c r="B605" t="s">
        <v>1239</v>
      </c>
      <c r="C605" t="s">
        <v>20</v>
      </c>
      <c r="D605" t="s">
        <v>21</v>
      </c>
      <c r="E605" t="s">
        <v>41</v>
      </c>
      <c r="F605" s="1">
        <v>45568</v>
      </c>
      <c r="G605" s="1">
        <v>45612</v>
      </c>
      <c r="H605">
        <v>297700</v>
      </c>
      <c r="I605">
        <v>14944</v>
      </c>
      <c r="J605">
        <v>1192</v>
      </c>
      <c r="K605">
        <v>18374.34</v>
      </c>
      <c r="L605">
        <v>93311.02</v>
      </c>
      <c r="M605">
        <v>5.0199999999999996</v>
      </c>
      <c r="N605">
        <v>7.98</v>
      </c>
      <c r="O605">
        <v>1.23</v>
      </c>
      <c r="P605">
        <v>15.41</v>
      </c>
      <c r="Q605">
        <v>5.08</v>
      </c>
      <c r="R605">
        <v>407.83</v>
      </c>
    </row>
    <row r="606" spans="1:18" x14ac:dyDescent="0.3">
      <c r="A606" t="s">
        <v>1240</v>
      </c>
      <c r="B606" t="s">
        <v>1241</v>
      </c>
      <c r="C606" t="s">
        <v>44</v>
      </c>
      <c r="D606" t="s">
        <v>21</v>
      </c>
      <c r="E606" t="s">
        <v>22</v>
      </c>
      <c r="F606" s="1">
        <v>45461</v>
      </c>
      <c r="G606" s="1">
        <v>45494</v>
      </c>
      <c r="H606">
        <v>330511</v>
      </c>
      <c r="I606">
        <v>10642</v>
      </c>
      <c r="J606">
        <v>334</v>
      </c>
      <c r="K606">
        <v>8908.2900000000009</v>
      </c>
      <c r="L606">
        <v>36626.839999999997</v>
      </c>
      <c r="M606">
        <v>3.22</v>
      </c>
      <c r="N606">
        <v>3.14</v>
      </c>
      <c r="O606">
        <v>0.84</v>
      </c>
      <c r="P606">
        <v>26.67</v>
      </c>
      <c r="Q606">
        <v>4.1100000000000003</v>
      </c>
      <c r="R606">
        <v>311.14999999999998</v>
      </c>
    </row>
    <row r="607" spans="1:18" x14ac:dyDescent="0.3">
      <c r="A607" t="s">
        <v>1242</v>
      </c>
      <c r="B607" t="s">
        <v>1243</v>
      </c>
      <c r="C607" t="s">
        <v>44</v>
      </c>
      <c r="D607" t="s">
        <v>57</v>
      </c>
      <c r="E607" t="s">
        <v>22</v>
      </c>
      <c r="F607" s="1">
        <v>45580</v>
      </c>
      <c r="G607" s="1">
        <v>45603</v>
      </c>
      <c r="H607">
        <v>137822</v>
      </c>
      <c r="I607">
        <v>1777</v>
      </c>
      <c r="J607">
        <v>84</v>
      </c>
      <c r="K607">
        <v>11867.82</v>
      </c>
      <c r="L607">
        <v>62559.7</v>
      </c>
      <c r="M607">
        <v>1.29</v>
      </c>
      <c r="N607">
        <v>4.7300000000000004</v>
      </c>
      <c r="O607">
        <v>6.68</v>
      </c>
      <c r="P607">
        <v>141.28</v>
      </c>
      <c r="Q607">
        <v>5.27</v>
      </c>
      <c r="R607">
        <v>427.14</v>
      </c>
    </row>
    <row r="608" spans="1:18" x14ac:dyDescent="0.3">
      <c r="A608" t="s">
        <v>1244</v>
      </c>
      <c r="B608" t="s">
        <v>1245</v>
      </c>
      <c r="C608" t="s">
        <v>20</v>
      </c>
      <c r="D608" t="s">
        <v>30</v>
      </c>
      <c r="E608" t="s">
        <v>31</v>
      </c>
      <c r="F608" s="1">
        <v>45305</v>
      </c>
      <c r="G608" s="1">
        <v>45330</v>
      </c>
      <c r="H608">
        <v>138646</v>
      </c>
      <c r="I608">
        <v>6641</v>
      </c>
      <c r="J608">
        <v>527</v>
      </c>
      <c r="K608">
        <v>10835.06</v>
      </c>
      <c r="L608">
        <v>57623.13</v>
      </c>
      <c r="M608">
        <v>4.79</v>
      </c>
      <c r="N608">
        <v>7.94</v>
      </c>
      <c r="O608">
        <v>1.63</v>
      </c>
      <c r="P608">
        <v>20.56</v>
      </c>
      <c r="Q608">
        <v>5.32</v>
      </c>
      <c r="R608">
        <v>431.82</v>
      </c>
    </row>
    <row r="609" spans="1:18" x14ac:dyDescent="0.3">
      <c r="A609" t="s">
        <v>1246</v>
      </c>
      <c r="B609" t="s">
        <v>1247</v>
      </c>
      <c r="C609" t="s">
        <v>25</v>
      </c>
      <c r="D609" t="s">
        <v>21</v>
      </c>
      <c r="E609" t="s">
        <v>41</v>
      </c>
      <c r="F609" s="1">
        <v>45432</v>
      </c>
      <c r="G609" s="1">
        <v>45455</v>
      </c>
      <c r="H609">
        <v>315077</v>
      </c>
      <c r="I609">
        <v>2930</v>
      </c>
      <c r="J609">
        <v>307</v>
      </c>
      <c r="K609">
        <v>8032.82</v>
      </c>
      <c r="L609">
        <v>38325.31</v>
      </c>
      <c r="M609">
        <v>0.93</v>
      </c>
      <c r="N609">
        <v>10.49</v>
      </c>
      <c r="O609">
        <v>2.74</v>
      </c>
      <c r="P609">
        <v>26.17</v>
      </c>
      <c r="Q609">
        <v>4.7699999999999996</v>
      </c>
      <c r="R609">
        <v>377.11</v>
      </c>
    </row>
    <row r="610" spans="1:18" x14ac:dyDescent="0.3">
      <c r="A610" t="s">
        <v>1248</v>
      </c>
      <c r="B610" t="s">
        <v>1249</v>
      </c>
      <c r="C610" t="s">
        <v>20</v>
      </c>
      <c r="D610" t="s">
        <v>21</v>
      </c>
      <c r="E610" t="s">
        <v>31</v>
      </c>
      <c r="F610" s="1">
        <v>45381</v>
      </c>
      <c r="G610" s="1">
        <v>45404</v>
      </c>
      <c r="H610">
        <v>141547</v>
      </c>
      <c r="I610">
        <v>8690</v>
      </c>
      <c r="J610">
        <v>732</v>
      </c>
      <c r="K610">
        <v>18183.11</v>
      </c>
      <c r="L610">
        <v>66622.02</v>
      </c>
      <c r="M610">
        <v>6.14</v>
      </c>
      <c r="N610">
        <v>8.43</v>
      </c>
      <c r="O610">
        <v>2.09</v>
      </c>
      <c r="P610">
        <v>24.84</v>
      </c>
      <c r="Q610">
        <v>3.66</v>
      </c>
      <c r="R610">
        <v>266.39999999999998</v>
      </c>
    </row>
    <row r="611" spans="1:18" x14ac:dyDescent="0.3">
      <c r="A611" t="s">
        <v>1250</v>
      </c>
      <c r="B611" t="s">
        <v>1251</v>
      </c>
      <c r="C611" t="s">
        <v>29</v>
      </c>
      <c r="D611" t="s">
        <v>30</v>
      </c>
      <c r="E611" t="s">
        <v>41</v>
      </c>
      <c r="F611" s="1">
        <v>45596</v>
      </c>
      <c r="G611" s="1">
        <v>45612</v>
      </c>
      <c r="H611">
        <v>469101</v>
      </c>
      <c r="I611">
        <v>14448</v>
      </c>
      <c r="J611">
        <v>313</v>
      </c>
      <c r="K611">
        <v>17761.07</v>
      </c>
      <c r="L611">
        <v>112837.06</v>
      </c>
      <c r="M611">
        <v>3.08</v>
      </c>
      <c r="N611">
        <v>2.17</v>
      </c>
      <c r="O611">
        <v>1.23</v>
      </c>
      <c r="P611">
        <v>56.74</v>
      </c>
      <c r="Q611">
        <v>6.35</v>
      </c>
      <c r="R611">
        <v>535.30999999999995</v>
      </c>
    </row>
    <row r="612" spans="1:18" x14ac:dyDescent="0.3">
      <c r="A612" t="s">
        <v>1252</v>
      </c>
      <c r="B612" t="s">
        <v>1253</v>
      </c>
      <c r="C612" t="s">
        <v>25</v>
      </c>
      <c r="D612" t="s">
        <v>30</v>
      </c>
      <c r="E612" t="s">
        <v>38</v>
      </c>
      <c r="F612" s="1">
        <v>45468</v>
      </c>
      <c r="G612" s="1">
        <v>45478</v>
      </c>
      <c r="H612">
        <v>174752</v>
      </c>
      <c r="I612">
        <v>3355</v>
      </c>
      <c r="J612">
        <v>338</v>
      </c>
      <c r="K612">
        <v>6676.53</v>
      </c>
      <c r="L612">
        <v>30711.43</v>
      </c>
      <c r="M612">
        <v>1.92</v>
      </c>
      <c r="N612">
        <v>10.08</v>
      </c>
      <c r="O612">
        <v>1.99</v>
      </c>
      <c r="P612">
        <v>19.75</v>
      </c>
      <c r="Q612">
        <v>4.5999999999999996</v>
      </c>
      <c r="R612">
        <v>359.99</v>
      </c>
    </row>
    <row r="613" spans="1:18" x14ac:dyDescent="0.3">
      <c r="A613" t="s">
        <v>1254</v>
      </c>
      <c r="B613" t="s">
        <v>1255</v>
      </c>
      <c r="C613" t="s">
        <v>44</v>
      </c>
      <c r="D613" t="s">
        <v>21</v>
      </c>
      <c r="E613" t="s">
        <v>26</v>
      </c>
      <c r="F613" s="1">
        <v>45564</v>
      </c>
      <c r="G613" s="1">
        <v>45585</v>
      </c>
      <c r="H613">
        <v>137870</v>
      </c>
      <c r="I613">
        <v>3322</v>
      </c>
      <c r="J613">
        <v>105</v>
      </c>
      <c r="K613">
        <v>8453.33</v>
      </c>
      <c r="L613">
        <v>52978.14</v>
      </c>
      <c r="M613">
        <v>2.41</v>
      </c>
      <c r="N613">
        <v>3.17</v>
      </c>
      <c r="O613">
        <v>2.54</v>
      </c>
      <c r="P613">
        <v>80.510000000000005</v>
      </c>
      <c r="Q613">
        <v>6.27</v>
      </c>
      <c r="R613">
        <v>526.71</v>
      </c>
    </row>
    <row r="614" spans="1:18" x14ac:dyDescent="0.3">
      <c r="A614" t="s">
        <v>1256</v>
      </c>
      <c r="B614" t="s">
        <v>1257</v>
      </c>
      <c r="C614" t="s">
        <v>25</v>
      </c>
      <c r="D614" t="s">
        <v>30</v>
      </c>
      <c r="E614" t="s">
        <v>38</v>
      </c>
      <c r="F614" s="1">
        <v>45521</v>
      </c>
      <c r="G614" s="1">
        <v>45552</v>
      </c>
      <c r="H614">
        <v>187691</v>
      </c>
      <c r="I614">
        <v>1970</v>
      </c>
      <c r="J614">
        <v>218</v>
      </c>
      <c r="K614">
        <v>4189.8100000000004</v>
      </c>
      <c r="L614">
        <v>25861.61</v>
      </c>
      <c r="M614">
        <v>1.05</v>
      </c>
      <c r="N614">
        <v>11.09</v>
      </c>
      <c r="O614">
        <v>2.13</v>
      </c>
      <c r="P614">
        <v>19.22</v>
      </c>
      <c r="Q614">
        <v>6.17</v>
      </c>
      <c r="R614">
        <v>517.25</v>
      </c>
    </row>
    <row r="615" spans="1:18" x14ac:dyDescent="0.3">
      <c r="A615" t="s">
        <v>1258</v>
      </c>
      <c r="B615" t="s">
        <v>1259</v>
      </c>
      <c r="C615" t="s">
        <v>44</v>
      </c>
      <c r="D615" t="s">
        <v>21</v>
      </c>
      <c r="E615" t="s">
        <v>26</v>
      </c>
      <c r="F615" s="1">
        <v>45431</v>
      </c>
      <c r="G615" s="1">
        <v>45459</v>
      </c>
      <c r="H615">
        <v>328550</v>
      </c>
      <c r="I615">
        <v>9396</v>
      </c>
      <c r="J615">
        <v>455</v>
      </c>
      <c r="K615">
        <v>7897.32</v>
      </c>
      <c r="L615">
        <v>48419.96</v>
      </c>
      <c r="M615">
        <v>2.86</v>
      </c>
      <c r="N615">
        <v>4.8499999999999996</v>
      </c>
      <c r="O615">
        <v>0.84</v>
      </c>
      <c r="P615">
        <v>17.36</v>
      </c>
      <c r="Q615">
        <v>6.13</v>
      </c>
      <c r="R615">
        <v>513.12</v>
      </c>
    </row>
    <row r="616" spans="1:18" x14ac:dyDescent="0.3">
      <c r="A616" t="s">
        <v>1260</v>
      </c>
      <c r="B616" t="s">
        <v>1261</v>
      </c>
      <c r="C616" t="s">
        <v>44</v>
      </c>
      <c r="D616" t="s">
        <v>57</v>
      </c>
      <c r="E616" t="s">
        <v>26</v>
      </c>
      <c r="F616" s="1">
        <v>45593</v>
      </c>
      <c r="G616" s="1">
        <v>45612</v>
      </c>
      <c r="H616">
        <v>183873</v>
      </c>
      <c r="I616">
        <v>5332</v>
      </c>
      <c r="J616">
        <v>153</v>
      </c>
      <c r="K616">
        <v>12164.39</v>
      </c>
      <c r="L616">
        <v>65333.83</v>
      </c>
      <c r="M616">
        <v>2.9</v>
      </c>
      <c r="N616">
        <v>2.87</v>
      </c>
      <c r="O616">
        <v>2.2799999999999998</v>
      </c>
      <c r="P616">
        <v>79.510000000000005</v>
      </c>
      <c r="Q616">
        <v>5.37</v>
      </c>
      <c r="R616">
        <v>437.09</v>
      </c>
    </row>
    <row r="617" spans="1:18" x14ac:dyDescent="0.3">
      <c r="A617" t="s">
        <v>1262</v>
      </c>
      <c r="B617" t="s">
        <v>1263</v>
      </c>
      <c r="C617" t="s">
        <v>37</v>
      </c>
      <c r="D617" t="s">
        <v>57</v>
      </c>
      <c r="E617" t="s">
        <v>41</v>
      </c>
      <c r="F617" s="1">
        <v>45342</v>
      </c>
      <c r="G617" s="1">
        <v>45382</v>
      </c>
      <c r="H617">
        <v>214243</v>
      </c>
      <c r="I617">
        <v>15618</v>
      </c>
      <c r="J617">
        <v>2300</v>
      </c>
      <c r="K617">
        <v>4242.6000000000004</v>
      </c>
      <c r="L617">
        <v>8713.56</v>
      </c>
      <c r="M617">
        <v>7.29</v>
      </c>
      <c r="N617">
        <v>14.73</v>
      </c>
      <c r="O617">
        <v>0.27</v>
      </c>
      <c r="P617">
        <v>1.84</v>
      </c>
      <c r="Q617">
        <v>2.0499999999999998</v>
      </c>
      <c r="R617">
        <v>105.38</v>
      </c>
    </row>
    <row r="618" spans="1:18" x14ac:dyDescent="0.3">
      <c r="A618" t="s">
        <v>1264</v>
      </c>
      <c r="B618" t="s">
        <v>1265</v>
      </c>
      <c r="C618" t="s">
        <v>20</v>
      </c>
      <c r="D618" t="s">
        <v>30</v>
      </c>
      <c r="E618" t="s">
        <v>22</v>
      </c>
      <c r="F618" s="1">
        <v>45321</v>
      </c>
      <c r="G618" s="1">
        <v>45366</v>
      </c>
      <c r="H618">
        <v>165037</v>
      </c>
      <c r="I618">
        <v>8911</v>
      </c>
      <c r="J618">
        <v>490</v>
      </c>
      <c r="K618">
        <v>5680.84</v>
      </c>
      <c r="L618">
        <v>27195.81</v>
      </c>
      <c r="M618">
        <v>5.4</v>
      </c>
      <c r="N618">
        <v>5.51</v>
      </c>
      <c r="O618">
        <v>0.64</v>
      </c>
      <c r="P618">
        <v>11.59</v>
      </c>
      <c r="Q618">
        <v>4.79</v>
      </c>
      <c r="R618">
        <v>378.73</v>
      </c>
    </row>
    <row r="619" spans="1:18" x14ac:dyDescent="0.3">
      <c r="A619" t="s">
        <v>1266</v>
      </c>
      <c r="B619" t="s">
        <v>1267</v>
      </c>
      <c r="C619" t="s">
        <v>29</v>
      </c>
      <c r="D619" t="s">
        <v>21</v>
      </c>
      <c r="E619" t="s">
        <v>26</v>
      </c>
      <c r="F619" s="1">
        <v>45581</v>
      </c>
      <c r="G619" s="1">
        <v>45599</v>
      </c>
      <c r="H619">
        <v>95291</v>
      </c>
      <c r="I619">
        <v>3878</v>
      </c>
      <c r="J619">
        <v>102</v>
      </c>
      <c r="K619">
        <v>12845.92</v>
      </c>
      <c r="L619">
        <v>77711.87</v>
      </c>
      <c r="M619">
        <v>4.07</v>
      </c>
      <c r="N619">
        <v>2.65</v>
      </c>
      <c r="O619">
        <v>3.31</v>
      </c>
      <c r="P619">
        <v>125.94</v>
      </c>
      <c r="Q619">
        <v>6.05</v>
      </c>
      <c r="R619">
        <v>504.95</v>
      </c>
    </row>
    <row r="620" spans="1:18" x14ac:dyDescent="0.3">
      <c r="A620" t="s">
        <v>1268</v>
      </c>
      <c r="B620" t="s">
        <v>1269</v>
      </c>
      <c r="C620" t="s">
        <v>20</v>
      </c>
      <c r="D620" t="s">
        <v>34</v>
      </c>
      <c r="E620" t="s">
        <v>22</v>
      </c>
      <c r="F620" s="1">
        <v>45433</v>
      </c>
      <c r="G620" s="1">
        <v>45467</v>
      </c>
      <c r="H620">
        <v>204438</v>
      </c>
      <c r="I620">
        <v>8933</v>
      </c>
      <c r="J620">
        <v>859</v>
      </c>
      <c r="K620">
        <v>17775.61</v>
      </c>
      <c r="L620">
        <v>109357.85</v>
      </c>
      <c r="M620">
        <v>4.37</v>
      </c>
      <c r="N620">
        <v>9.6199999999999992</v>
      </c>
      <c r="O620">
        <v>1.99</v>
      </c>
      <c r="P620">
        <v>20.69</v>
      </c>
      <c r="Q620">
        <v>6.15</v>
      </c>
      <c r="R620">
        <v>515.21</v>
      </c>
    </row>
    <row r="621" spans="1:18" x14ac:dyDescent="0.3">
      <c r="A621" t="s">
        <v>1270</v>
      </c>
      <c r="B621" t="s">
        <v>1271</v>
      </c>
      <c r="C621" t="s">
        <v>44</v>
      </c>
      <c r="D621" t="s">
        <v>57</v>
      </c>
      <c r="E621" t="s">
        <v>41</v>
      </c>
      <c r="F621" s="1">
        <v>45322</v>
      </c>
      <c r="G621" s="1">
        <v>45345</v>
      </c>
      <c r="H621">
        <v>459328</v>
      </c>
      <c r="I621">
        <v>6384</v>
      </c>
      <c r="J621">
        <v>269</v>
      </c>
      <c r="K621">
        <v>7284.99</v>
      </c>
      <c r="L621">
        <v>25475.22</v>
      </c>
      <c r="M621">
        <v>1.39</v>
      </c>
      <c r="N621">
        <v>4.22</v>
      </c>
      <c r="O621">
        <v>1.1399999999999999</v>
      </c>
      <c r="P621">
        <v>27.08</v>
      </c>
      <c r="Q621">
        <v>3.5</v>
      </c>
      <c r="R621">
        <v>249.69</v>
      </c>
    </row>
    <row r="622" spans="1:18" x14ac:dyDescent="0.3">
      <c r="A622" t="s">
        <v>1272</v>
      </c>
      <c r="B622" t="s">
        <v>1273</v>
      </c>
      <c r="C622" t="s">
        <v>44</v>
      </c>
      <c r="D622" t="s">
        <v>34</v>
      </c>
      <c r="E622" t="s">
        <v>38</v>
      </c>
      <c r="F622" s="1">
        <v>45543</v>
      </c>
      <c r="G622" s="1">
        <v>45556</v>
      </c>
      <c r="H622">
        <v>86384</v>
      </c>
      <c r="I622">
        <v>2142</v>
      </c>
      <c r="J622">
        <v>101</v>
      </c>
      <c r="K622">
        <v>10128.77</v>
      </c>
      <c r="L622">
        <v>28390.84</v>
      </c>
      <c r="M622">
        <v>2.48</v>
      </c>
      <c r="N622">
        <v>4.75</v>
      </c>
      <c r="O622">
        <v>4.7300000000000004</v>
      </c>
      <c r="P622">
        <v>100.28</v>
      </c>
      <c r="Q622">
        <v>2.8</v>
      </c>
      <c r="R622">
        <v>180.3</v>
      </c>
    </row>
    <row r="623" spans="1:18" x14ac:dyDescent="0.3">
      <c r="A623" t="s">
        <v>1274</v>
      </c>
      <c r="B623" t="s">
        <v>1275</v>
      </c>
      <c r="C623" t="s">
        <v>29</v>
      </c>
      <c r="D623" t="s">
        <v>30</v>
      </c>
      <c r="E623" t="s">
        <v>41</v>
      </c>
      <c r="F623" s="1">
        <v>45329</v>
      </c>
      <c r="G623" s="1">
        <v>45340</v>
      </c>
      <c r="H623">
        <v>371895</v>
      </c>
      <c r="I623">
        <v>12755</v>
      </c>
      <c r="J623">
        <v>836</v>
      </c>
      <c r="K623">
        <v>13731</v>
      </c>
      <c r="L623">
        <v>33844.06</v>
      </c>
      <c r="M623">
        <v>3.43</v>
      </c>
      <c r="N623">
        <v>6.56</v>
      </c>
      <c r="O623">
        <v>1.08</v>
      </c>
      <c r="P623">
        <v>16.420000000000002</v>
      </c>
      <c r="Q623">
        <v>2.46</v>
      </c>
      <c r="R623">
        <v>146.47999999999999</v>
      </c>
    </row>
    <row r="624" spans="1:18" x14ac:dyDescent="0.3">
      <c r="A624" t="s">
        <v>1276</v>
      </c>
      <c r="B624" t="s">
        <v>1277</v>
      </c>
      <c r="C624" t="s">
        <v>37</v>
      </c>
      <c r="D624" t="s">
        <v>57</v>
      </c>
      <c r="E624" t="s">
        <v>38</v>
      </c>
      <c r="F624" s="1">
        <v>45491</v>
      </c>
      <c r="G624" s="1">
        <v>45515</v>
      </c>
      <c r="H624">
        <v>59838</v>
      </c>
      <c r="I624">
        <v>5612</v>
      </c>
      <c r="J624">
        <v>532</v>
      </c>
      <c r="K624">
        <v>3381.51</v>
      </c>
      <c r="L624">
        <v>20958.669999999998</v>
      </c>
      <c r="M624">
        <v>9.3800000000000008</v>
      </c>
      <c r="N624">
        <v>9.49</v>
      </c>
      <c r="O624">
        <v>0.6</v>
      </c>
      <c r="P624">
        <v>6.36</v>
      </c>
      <c r="Q624">
        <v>6.2</v>
      </c>
      <c r="R624">
        <v>519.79999999999995</v>
      </c>
    </row>
    <row r="625" spans="1:18" x14ac:dyDescent="0.3">
      <c r="A625" t="s">
        <v>1278</v>
      </c>
      <c r="B625" t="s">
        <v>1279</v>
      </c>
      <c r="C625" t="s">
        <v>29</v>
      </c>
      <c r="D625" t="s">
        <v>57</v>
      </c>
      <c r="E625" t="s">
        <v>38</v>
      </c>
      <c r="F625" s="1">
        <v>45498</v>
      </c>
      <c r="G625" s="1">
        <v>45509</v>
      </c>
      <c r="H625">
        <v>351276</v>
      </c>
      <c r="I625">
        <v>5304</v>
      </c>
      <c r="J625">
        <v>293</v>
      </c>
      <c r="K625">
        <v>14564.86</v>
      </c>
      <c r="L625">
        <v>60467.87</v>
      </c>
      <c r="M625">
        <v>1.51</v>
      </c>
      <c r="N625">
        <v>5.54</v>
      </c>
      <c r="O625">
        <v>2.75</v>
      </c>
      <c r="P625">
        <v>49.71</v>
      </c>
      <c r="Q625">
        <v>4.1500000000000004</v>
      </c>
      <c r="R625">
        <v>315.16000000000003</v>
      </c>
    </row>
    <row r="626" spans="1:18" x14ac:dyDescent="0.3">
      <c r="A626" t="s">
        <v>1280</v>
      </c>
      <c r="B626" t="s">
        <v>1281</v>
      </c>
      <c r="C626" t="s">
        <v>37</v>
      </c>
      <c r="D626" t="s">
        <v>34</v>
      </c>
      <c r="E626" t="s">
        <v>26</v>
      </c>
      <c r="F626" s="1">
        <v>45475</v>
      </c>
      <c r="G626" s="1">
        <v>45503</v>
      </c>
      <c r="H626">
        <v>251548</v>
      </c>
      <c r="I626">
        <v>24450</v>
      </c>
      <c r="J626">
        <v>3956</v>
      </c>
      <c r="K626">
        <v>2669.3</v>
      </c>
      <c r="L626">
        <v>12152.25</v>
      </c>
      <c r="M626">
        <v>9.7200000000000006</v>
      </c>
      <c r="N626">
        <v>16.18</v>
      </c>
      <c r="O626">
        <v>0.11</v>
      </c>
      <c r="P626">
        <v>0.67</v>
      </c>
      <c r="Q626">
        <v>4.55</v>
      </c>
      <c r="R626">
        <v>355.26</v>
      </c>
    </row>
    <row r="627" spans="1:18" x14ac:dyDescent="0.3">
      <c r="A627" t="s">
        <v>1282</v>
      </c>
      <c r="B627" t="s">
        <v>1283</v>
      </c>
      <c r="C627" t="s">
        <v>44</v>
      </c>
      <c r="D627" t="s">
        <v>30</v>
      </c>
      <c r="E627" t="s">
        <v>26</v>
      </c>
      <c r="F627" s="1">
        <v>45466</v>
      </c>
      <c r="G627" s="1">
        <v>45478</v>
      </c>
      <c r="H627">
        <v>381492</v>
      </c>
      <c r="I627">
        <v>14458</v>
      </c>
      <c r="J627">
        <v>543</v>
      </c>
      <c r="K627">
        <v>7066.94</v>
      </c>
      <c r="L627">
        <v>41271.21</v>
      </c>
      <c r="M627">
        <v>3.79</v>
      </c>
      <c r="N627">
        <v>3.76</v>
      </c>
      <c r="O627">
        <v>0.49</v>
      </c>
      <c r="P627">
        <v>13.01</v>
      </c>
      <c r="Q627">
        <v>5.84</v>
      </c>
      <c r="R627">
        <v>484</v>
      </c>
    </row>
    <row r="628" spans="1:18" x14ac:dyDescent="0.3">
      <c r="A628" t="s">
        <v>1284</v>
      </c>
      <c r="B628" t="s">
        <v>1285</v>
      </c>
      <c r="C628" t="s">
        <v>25</v>
      </c>
      <c r="D628" t="s">
        <v>57</v>
      </c>
      <c r="E628" t="s">
        <v>41</v>
      </c>
      <c r="F628" s="1">
        <v>45491</v>
      </c>
      <c r="G628" s="1">
        <v>45504</v>
      </c>
      <c r="H628">
        <v>142598</v>
      </c>
      <c r="I628">
        <v>2481</v>
      </c>
      <c r="J628">
        <v>292</v>
      </c>
      <c r="K628">
        <v>14571.75</v>
      </c>
      <c r="L628">
        <v>48741.29</v>
      </c>
      <c r="M628">
        <v>1.74</v>
      </c>
      <c r="N628">
        <v>11.77</v>
      </c>
      <c r="O628">
        <v>5.87</v>
      </c>
      <c r="P628">
        <v>49.9</v>
      </c>
      <c r="Q628">
        <v>3.34</v>
      </c>
      <c r="R628">
        <v>234.49</v>
      </c>
    </row>
    <row r="629" spans="1:18" x14ac:dyDescent="0.3">
      <c r="A629" t="s">
        <v>1286</v>
      </c>
      <c r="B629" t="s">
        <v>1287</v>
      </c>
      <c r="C629" t="s">
        <v>44</v>
      </c>
      <c r="D629" t="s">
        <v>30</v>
      </c>
      <c r="E629" t="s">
        <v>26</v>
      </c>
      <c r="F629" s="1">
        <v>45595</v>
      </c>
      <c r="G629" s="1">
        <v>45617</v>
      </c>
      <c r="H629">
        <v>381764</v>
      </c>
      <c r="I629">
        <v>8933</v>
      </c>
      <c r="J629">
        <v>192</v>
      </c>
      <c r="K629">
        <v>2946.23</v>
      </c>
      <c r="L629">
        <v>6228.74</v>
      </c>
      <c r="M629">
        <v>2.34</v>
      </c>
      <c r="N629">
        <v>2.16</v>
      </c>
      <c r="O629">
        <v>0.33</v>
      </c>
      <c r="P629">
        <v>15.34</v>
      </c>
      <c r="Q629">
        <v>2.11</v>
      </c>
      <c r="R629">
        <v>111.41</v>
      </c>
    </row>
    <row r="630" spans="1:18" x14ac:dyDescent="0.3">
      <c r="A630" t="s">
        <v>1288</v>
      </c>
      <c r="B630" t="s">
        <v>1289</v>
      </c>
      <c r="C630" t="s">
        <v>25</v>
      </c>
      <c r="D630" t="s">
        <v>30</v>
      </c>
      <c r="E630" t="s">
        <v>26</v>
      </c>
      <c r="F630" s="1">
        <v>45522</v>
      </c>
      <c r="G630" s="1">
        <v>45530</v>
      </c>
      <c r="H630">
        <v>465623</v>
      </c>
      <c r="I630">
        <v>8008</v>
      </c>
      <c r="J630">
        <v>572</v>
      </c>
      <c r="K630">
        <v>12543.04</v>
      </c>
      <c r="L630">
        <v>72174.240000000005</v>
      </c>
      <c r="M630">
        <v>1.72</v>
      </c>
      <c r="N630">
        <v>7.15</v>
      </c>
      <c r="O630">
        <v>1.57</v>
      </c>
      <c r="P630">
        <v>21.93</v>
      </c>
      <c r="Q630">
        <v>5.75</v>
      </c>
      <c r="R630">
        <v>475.41</v>
      </c>
    </row>
    <row r="631" spans="1:18" x14ac:dyDescent="0.3">
      <c r="A631" t="s">
        <v>1290</v>
      </c>
      <c r="B631" t="s">
        <v>1291</v>
      </c>
      <c r="C631" t="s">
        <v>20</v>
      </c>
      <c r="D631" t="s">
        <v>57</v>
      </c>
      <c r="E631" t="s">
        <v>26</v>
      </c>
      <c r="F631" s="1">
        <v>45559</v>
      </c>
      <c r="G631" s="1">
        <v>45595</v>
      </c>
      <c r="H631">
        <v>227061</v>
      </c>
      <c r="I631">
        <v>12828</v>
      </c>
      <c r="J631">
        <v>546</v>
      </c>
      <c r="K631">
        <v>7363.74</v>
      </c>
      <c r="L631">
        <v>41472.339999999997</v>
      </c>
      <c r="M631">
        <v>5.65</v>
      </c>
      <c r="N631">
        <v>4.26</v>
      </c>
      <c r="O631">
        <v>0.56999999999999995</v>
      </c>
      <c r="P631">
        <v>13.49</v>
      </c>
      <c r="Q631">
        <v>5.63</v>
      </c>
      <c r="R631">
        <v>463.2</v>
      </c>
    </row>
    <row r="632" spans="1:18" x14ac:dyDescent="0.3">
      <c r="A632" t="s">
        <v>1292</v>
      </c>
      <c r="B632" t="s">
        <v>1293</v>
      </c>
      <c r="C632" t="s">
        <v>37</v>
      </c>
      <c r="D632" t="s">
        <v>34</v>
      </c>
      <c r="E632" t="s">
        <v>31</v>
      </c>
      <c r="F632" s="1">
        <v>45533</v>
      </c>
      <c r="G632" s="1">
        <v>45542</v>
      </c>
      <c r="H632">
        <v>172151</v>
      </c>
      <c r="I632">
        <v>16440</v>
      </c>
      <c r="J632">
        <v>1376</v>
      </c>
      <c r="K632">
        <v>1137.1600000000001</v>
      </c>
      <c r="L632">
        <v>5620.12</v>
      </c>
      <c r="M632">
        <v>9.5500000000000007</v>
      </c>
      <c r="N632">
        <v>8.3699999999999992</v>
      </c>
      <c r="O632">
        <v>7.0000000000000007E-2</v>
      </c>
      <c r="P632">
        <v>0.83</v>
      </c>
      <c r="Q632">
        <v>4.9400000000000004</v>
      </c>
      <c r="R632">
        <v>394.22</v>
      </c>
    </row>
    <row r="633" spans="1:18" x14ac:dyDescent="0.3">
      <c r="A633" t="s">
        <v>1294</v>
      </c>
      <c r="B633" t="s">
        <v>1295</v>
      </c>
      <c r="C633" t="s">
        <v>29</v>
      </c>
      <c r="D633" t="s">
        <v>34</v>
      </c>
      <c r="E633" t="s">
        <v>26</v>
      </c>
      <c r="F633" s="1">
        <v>45604</v>
      </c>
      <c r="G633" s="1">
        <v>45621</v>
      </c>
      <c r="H633">
        <v>140308</v>
      </c>
      <c r="I633">
        <v>4770</v>
      </c>
      <c r="J633">
        <v>311</v>
      </c>
      <c r="K633">
        <v>15311.09</v>
      </c>
      <c r="L633">
        <v>37325.61</v>
      </c>
      <c r="M633">
        <v>3.4</v>
      </c>
      <c r="N633">
        <v>6.52</v>
      </c>
      <c r="O633">
        <v>3.21</v>
      </c>
      <c r="P633">
        <v>49.23</v>
      </c>
      <c r="Q633">
        <v>2.44</v>
      </c>
      <c r="R633">
        <v>143.78</v>
      </c>
    </row>
    <row r="634" spans="1:18" x14ac:dyDescent="0.3">
      <c r="A634" t="s">
        <v>1296</v>
      </c>
      <c r="B634" t="s">
        <v>1297</v>
      </c>
      <c r="C634" t="s">
        <v>37</v>
      </c>
      <c r="D634" t="s">
        <v>21</v>
      </c>
      <c r="E634" t="s">
        <v>26</v>
      </c>
      <c r="F634" s="1">
        <v>45510</v>
      </c>
      <c r="G634" s="1">
        <v>45538</v>
      </c>
      <c r="H634">
        <v>109863</v>
      </c>
      <c r="I634">
        <v>7668</v>
      </c>
      <c r="J634">
        <v>1226</v>
      </c>
      <c r="K634">
        <v>1492.58</v>
      </c>
      <c r="L634">
        <v>8388.36</v>
      </c>
      <c r="M634">
        <v>6.98</v>
      </c>
      <c r="N634">
        <v>15.99</v>
      </c>
      <c r="O634">
        <v>0.19</v>
      </c>
      <c r="P634">
        <v>1.22</v>
      </c>
      <c r="Q634">
        <v>5.62</v>
      </c>
      <c r="R634">
        <v>462</v>
      </c>
    </row>
    <row r="635" spans="1:18" x14ac:dyDescent="0.3">
      <c r="A635" t="s">
        <v>1298</v>
      </c>
      <c r="B635" t="s">
        <v>1299</v>
      </c>
      <c r="C635" t="s">
        <v>25</v>
      </c>
      <c r="D635" t="s">
        <v>57</v>
      </c>
      <c r="E635" t="s">
        <v>26</v>
      </c>
      <c r="F635" s="1">
        <v>45315</v>
      </c>
      <c r="G635" s="1">
        <v>45359</v>
      </c>
      <c r="H635">
        <v>408659</v>
      </c>
      <c r="I635">
        <v>7274</v>
      </c>
      <c r="J635">
        <v>433</v>
      </c>
      <c r="K635">
        <v>17382.830000000002</v>
      </c>
      <c r="L635">
        <v>96804.24</v>
      </c>
      <c r="M635">
        <v>1.78</v>
      </c>
      <c r="N635">
        <v>5.96</v>
      </c>
      <c r="O635">
        <v>2.39</v>
      </c>
      <c r="P635">
        <v>40.15</v>
      </c>
      <c r="Q635">
        <v>5.57</v>
      </c>
      <c r="R635">
        <v>456.9</v>
      </c>
    </row>
    <row r="636" spans="1:18" x14ac:dyDescent="0.3">
      <c r="A636" t="s">
        <v>1300</v>
      </c>
      <c r="B636" t="s">
        <v>1301</v>
      </c>
      <c r="C636" t="s">
        <v>29</v>
      </c>
      <c r="D636" t="s">
        <v>57</v>
      </c>
      <c r="E636" t="s">
        <v>26</v>
      </c>
      <c r="F636" s="1">
        <v>45376</v>
      </c>
      <c r="G636" s="1">
        <v>45411</v>
      </c>
      <c r="H636">
        <v>113305</v>
      </c>
      <c r="I636">
        <v>2628</v>
      </c>
      <c r="J636">
        <v>152</v>
      </c>
      <c r="K636">
        <v>5520.76</v>
      </c>
      <c r="L636">
        <v>20231.78</v>
      </c>
      <c r="M636">
        <v>2.3199999999999998</v>
      </c>
      <c r="N636">
        <v>5.79</v>
      </c>
      <c r="O636">
        <v>2.1</v>
      </c>
      <c r="P636">
        <v>36.32</v>
      </c>
      <c r="Q636">
        <v>3.66</v>
      </c>
      <c r="R636">
        <v>266.47000000000003</v>
      </c>
    </row>
    <row r="637" spans="1:18" x14ac:dyDescent="0.3">
      <c r="A637" t="s">
        <v>1302</v>
      </c>
      <c r="B637" t="s">
        <v>1303</v>
      </c>
      <c r="C637" t="s">
        <v>29</v>
      </c>
      <c r="D637" t="s">
        <v>21</v>
      </c>
      <c r="E637" t="s">
        <v>41</v>
      </c>
      <c r="F637" s="1">
        <v>45541</v>
      </c>
      <c r="G637" s="1">
        <v>45553</v>
      </c>
      <c r="H637">
        <v>102411</v>
      </c>
      <c r="I637">
        <v>3963</v>
      </c>
      <c r="J637">
        <v>204</v>
      </c>
      <c r="K637">
        <v>8641.9699999999993</v>
      </c>
      <c r="L637">
        <v>23418.799999999999</v>
      </c>
      <c r="M637">
        <v>3.87</v>
      </c>
      <c r="N637">
        <v>5.16</v>
      </c>
      <c r="O637">
        <v>2.1800000000000002</v>
      </c>
      <c r="P637">
        <v>42.36</v>
      </c>
      <c r="Q637">
        <v>2.71</v>
      </c>
      <c r="R637">
        <v>170.99</v>
      </c>
    </row>
    <row r="638" spans="1:18" x14ac:dyDescent="0.3">
      <c r="A638" t="s">
        <v>1304</v>
      </c>
      <c r="B638" t="s">
        <v>1305</v>
      </c>
      <c r="C638" t="s">
        <v>20</v>
      </c>
      <c r="D638" t="s">
        <v>21</v>
      </c>
      <c r="E638" t="s">
        <v>41</v>
      </c>
      <c r="F638" s="1">
        <v>45535</v>
      </c>
      <c r="G638" s="1">
        <v>45550</v>
      </c>
      <c r="H638">
        <v>96735</v>
      </c>
      <c r="I638">
        <v>5155</v>
      </c>
      <c r="J638">
        <v>389</v>
      </c>
      <c r="K638">
        <v>10674.63</v>
      </c>
      <c r="L638">
        <v>54662.28</v>
      </c>
      <c r="M638">
        <v>5.33</v>
      </c>
      <c r="N638">
        <v>7.56</v>
      </c>
      <c r="O638">
        <v>2.0699999999999998</v>
      </c>
      <c r="P638">
        <v>27.44</v>
      </c>
      <c r="Q638">
        <v>5.12</v>
      </c>
      <c r="R638">
        <v>412.08</v>
      </c>
    </row>
    <row r="639" spans="1:18" x14ac:dyDescent="0.3">
      <c r="A639" t="s">
        <v>1306</v>
      </c>
      <c r="B639" t="s">
        <v>1307</v>
      </c>
      <c r="C639" t="s">
        <v>29</v>
      </c>
      <c r="D639" t="s">
        <v>34</v>
      </c>
      <c r="E639" t="s">
        <v>22</v>
      </c>
      <c r="F639" s="1">
        <v>45597</v>
      </c>
      <c r="G639" s="1">
        <v>45615</v>
      </c>
      <c r="H639">
        <v>324248</v>
      </c>
      <c r="I639">
        <v>9241</v>
      </c>
      <c r="J639">
        <v>295</v>
      </c>
      <c r="K639">
        <v>5618.23</v>
      </c>
      <c r="L639">
        <v>28723.38</v>
      </c>
      <c r="M639">
        <v>2.85</v>
      </c>
      <c r="N639">
        <v>3.2</v>
      </c>
      <c r="O639">
        <v>0.61</v>
      </c>
      <c r="P639">
        <v>19.04</v>
      </c>
      <c r="Q639">
        <v>5.1100000000000003</v>
      </c>
      <c r="R639">
        <v>411.25</v>
      </c>
    </row>
    <row r="640" spans="1:18" x14ac:dyDescent="0.3">
      <c r="A640" t="s">
        <v>1308</v>
      </c>
      <c r="B640" t="s">
        <v>1309</v>
      </c>
      <c r="C640" t="s">
        <v>25</v>
      </c>
      <c r="D640" t="s">
        <v>21</v>
      </c>
      <c r="E640" t="s">
        <v>22</v>
      </c>
      <c r="F640" s="1">
        <v>45340</v>
      </c>
      <c r="G640" s="1">
        <v>45370</v>
      </c>
      <c r="H640">
        <v>232375</v>
      </c>
      <c r="I640">
        <v>3508</v>
      </c>
      <c r="J640">
        <v>312</v>
      </c>
      <c r="K640">
        <v>7070.45</v>
      </c>
      <c r="L640">
        <v>45531.69</v>
      </c>
      <c r="M640">
        <v>1.51</v>
      </c>
      <c r="N640">
        <v>8.9</v>
      </c>
      <c r="O640">
        <v>2.02</v>
      </c>
      <c r="P640">
        <v>22.66</v>
      </c>
      <c r="Q640">
        <v>6.44</v>
      </c>
      <c r="R640">
        <v>543.97</v>
      </c>
    </row>
    <row r="641" spans="1:18" x14ac:dyDescent="0.3">
      <c r="A641" t="s">
        <v>1310</v>
      </c>
      <c r="B641" t="s">
        <v>1311</v>
      </c>
      <c r="C641" t="s">
        <v>37</v>
      </c>
      <c r="D641" t="s">
        <v>34</v>
      </c>
      <c r="E641" t="s">
        <v>38</v>
      </c>
      <c r="F641" s="1">
        <v>45368</v>
      </c>
      <c r="G641" s="1">
        <v>45405</v>
      </c>
      <c r="H641">
        <v>453875</v>
      </c>
      <c r="I641">
        <v>35220</v>
      </c>
      <c r="J641">
        <v>3550</v>
      </c>
      <c r="K641">
        <v>738.81</v>
      </c>
      <c r="L641">
        <v>1852.24</v>
      </c>
      <c r="M641">
        <v>7.76</v>
      </c>
      <c r="N641">
        <v>10.08</v>
      </c>
      <c r="O641">
        <v>0.02</v>
      </c>
      <c r="P641">
        <v>0.21</v>
      </c>
      <c r="Q641">
        <v>2.5099999999999998</v>
      </c>
      <c r="R641">
        <v>150.71</v>
      </c>
    </row>
    <row r="642" spans="1:18" x14ac:dyDescent="0.3">
      <c r="A642" t="s">
        <v>1312</v>
      </c>
      <c r="B642" t="s">
        <v>1313</v>
      </c>
      <c r="C642" t="s">
        <v>25</v>
      </c>
      <c r="D642" t="s">
        <v>34</v>
      </c>
      <c r="E642" t="s">
        <v>41</v>
      </c>
      <c r="F642" s="1">
        <v>45420</v>
      </c>
      <c r="G642" s="1">
        <v>45448</v>
      </c>
      <c r="H642">
        <v>401347</v>
      </c>
      <c r="I642">
        <v>9511</v>
      </c>
      <c r="J642">
        <v>511</v>
      </c>
      <c r="K642">
        <v>9827.09</v>
      </c>
      <c r="L642">
        <v>28922.639999999999</v>
      </c>
      <c r="M642">
        <v>2.37</v>
      </c>
      <c r="N642">
        <v>5.38</v>
      </c>
      <c r="O642">
        <v>1.03</v>
      </c>
      <c r="P642">
        <v>19.23</v>
      </c>
      <c r="Q642">
        <v>2.94</v>
      </c>
      <c r="R642">
        <v>194.32</v>
      </c>
    </row>
    <row r="643" spans="1:18" x14ac:dyDescent="0.3">
      <c r="A643" t="s">
        <v>1314</v>
      </c>
      <c r="B643" t="s">
        <v>1315</v>
      </c>
      <c r="C643" t="s">
        <v>37</v>
      </c>
      <c r="D643" t="s">
        <v>30</v>
      </c>
      <c r="E643" t="s">
        <v>26</v>
      </c>
      <c r="F643" s="1">
        <v>45540</v>
      </c>
      <c r="G643" s="1">
        <v>45579</v>
      </c>
      <c r="H643">
        <v>104746</v>
      </c>
      <c r="I643">
        <v>8840</v>
      </c>
      <c r="J643">
        <v>1524</v>
      </c>
      <c r="K643">
        <v>1291.49</v>
      </c>
      <c r="L643">
        <v>7148.03</v>
      </c>
      <c r="M643">
        <v>8.44</v>
      </c>
      <c r="N643">
        <v>17.25</v>
      </c>
      <c r="O643">
        <v>0.15</v>
      </c>
      <c r="P643">
        <v>0.85</v>
      </c>
      <c r="Q643">
        <v>5.53</v>
      </c>
      <c r="R643">
        <v>453.47</v>
      </c>
    </row>
    <row r="644" spans="1:18" x14ac:dyDescent="0.3">
      <c r="A644" t="s">
        <v>1316</v>
      </c>
      <c r="B644" t="s">
        <v>1317</v>
      </c>
      <c r="C644" t="s">
        <v>20</v>
      </c>
      <c r="D644" t="s">
        <v>21</v>
      </c>
      <c r="E644" t="s">
        <v>41</v>
      </c>
      <c r="F644" s="1">
        <v>45458</v>
      </c>
      <c r="G644" s="1">
        <v>45479</v>
      </c>
      <c r="H644">
        <v>428222</v>
      </c>
      <c r="I644">
        <v>18327</v>
      </c>
      <c r="J644">
        <v>1370</v>
      </c>
      <c r="K644">
        <v>13381.33</v>
      </c>
      <c r="L644">
        <v>71749.22</v>
      </c>
      <c r="M644">
        <v>4.28</v>
      </c>
      <c r="N644">
        <v>7.48</v>
      </c>
      <c r="O644">
        <v>0.73</v>
      </c>
      <c r="P644">
        <v>9.77</v>
      </c>
      <c r="Q644">
        <v>5.36</v>
      </c>
      <c r="R644">
        <v>436.19</v>
      </c>
    </row>
    <row r="645" spans="1:18" x14ac:dyDescent="0.3">
      <c r="A645" t="s">
        <v>1318</v>
      </c>
      <c r="B645" t="s">
        <v>1319</v>
      </c>
      <c r="C645" t="s">
        <v>20</v>
      </c>
      <c r="D645" t="s">
        <v>57</v>
      </c>
      <c r="E645" t="s">
        <v>41</v>
      </c>
      <c r="F645" s="1">
        <v>45329</v>
      </c>
      <c r="G645" s="1">
        <v>45366</v>
      </c>
      <c r="H645">
        <v>101413</v>
      </c>
      <c r="I645">
        <v>3498</v>
      </c>
      <c r="J645">
        <v>226</v>
      </c>
      <c r="K645">
        <v>8999.1200000000008</v>
      </c>
      <c r="L645">
        <v>54095</v>
      </c>
      <c r="M645">
        <v>3.45</v>
      </c>
      <c r="N645">
        <v>6.48</v>
      </c>
      <c r="O645">
        <v>2.57</v>
      </c>
      <c r="P645">
        <v>39.82</v>
      </c>
      <c r="Q645">
        <v>6.01</v>
      </c>
      <c r="R645">
        <v>501.11</v>
      </c>
    </row>
    <row r="646" spans="1:18" x14ac:dyDescent="0.3">
      <c r="A646" t="s">
        <v>1320</v>
      </c>
      <c r="B646" t="s">
        <v>1321</v>
      </c>
      <c r="C646" t="s">
        <v>37</v>
      </c>
      <c r="D646" t="s">
        <v>30</v>
      </c>
      <c r="E646" t="s">
        <v>26</v>
      </c>
      <c r="F646" s="1">
        <v>45361</v>
      </c>
      <c r="G646" s="1">
        <v>45397</v>
      </c>
      <c r="H646">
        <v>278518</v>
      </c>
      <c r="I646">
        <v>13563</v>
      </c>
      <c r="J646">
        <v>2343</v>
      </c>
      <c r="K646">
        <v>2547.46</v>
      </c>
      <c r="L646">
        <v>9535.11</v>
      </c>
      <c r="M646">
        <v>4.87</v>
      </c>
      <c r="N646">
        <v>17.28</v>
      </c>
      <c r="O646">
        <v>0.19</v>
      </c>
      <c r="P646">
        <v>1.0900000000000001</v>
      </c>
      <c r="Q646">
        <v>3.74</v>
      </c>
      <c r="R646">
        <v>274.3</v>
      </c>
    </row>
    <row r="647" spans="1:18" x14ac:dyDescent="0.3">
      <c r="A647" t="s">
        <v>1322</v>
      </c>
      <c r="B647" t="s">
        <v>1323</v>
      </c>
      <c r="C647" t="s">
        <v>29</v>
      </c>
      <c r="D647" t="s">
        <v>57</v>
      </c>
      <c r="E647" t="s">
        <v>22</v>
      </c>
      <c r="F647" s="1">
        <v>45348</v>
      </c>
      <c r="G647" s="1">
        <v>45384</v>
      </c>
      <c r="H647">
        <v>156016</v>
      </c>
      <c r="I647">
        <v>3916</v>
      </c>
      <c r="J647">
        <v>84</v>
      </c>
      <c r="K647">
        <v>11529.99</v>
      </c>
      <c r="L647">
        <v>37619.11</v>
      </c>
      <c r="M647">
        <v>2.5099999999999998</v>
      </c>
      <c r="N647">
        <v>2.16</v>
      </c>
      <c r="O647">
        <v>2.94</v>
      </c>
      <c r="P647">
        <v>137.26</v>
      </c>
      <c r="Q647">
        <v>3.26</v>
      </c>
      <c r="R647">
        <v>226.27</v>
      </c>
    </row>
    <row r="648" spans="1:18" x14ac:dyDescent="0.3">
      <c r="A648" t="s">
        <v>1324</v>
      </c>
      <c r="B648" t="s">
        <v>1325</v>
      </c>
      <c r="C648" t="s">
        <v>25</v>
      </c>
      <c r="D648" t="s">
        <v>30</v>
      </c>
      <c r="E648" t="s">
        <v>41</v>
      </c>
      <c r="F648" s="1">
        <v>45618</v>
      </c>
      <c r="G648" s="1">
        <v>45635</v>
      </c>
      <c r="H648">
        <v>448636</v>
      </c>
      <c r="I648">
        <v>6191</v>
      </c>
      <c r="J648">
        <v>693</v>
      </c>
      <c r="K648">
        <v>13658.18</v>
      </c>
      <c r="L648">
        <v>75843.350000000006</v>
      </c>
      <c r="M648">
        <v>1.38</v>
      </c>
      <c r="N648">
        <v>11.2</v>
      </c>
      <c r="O648">
        <v>2.21</v>
      </c>
      <c r="P648">
        <v>19.71</v>
      </c>
      <c r="Q648">
        <v>5.55</v>
      </c>
      <c r="R648">
        <v>455.3</v>
      </c>
    </row>
    <row r="649" spans="1:18" x14ac:dyDescent="0.3">
      <c r="A649" t="s">
        <v>1326</v>
      </c>
      <c r="B649" t="s">
        <v>1327</v>
      </c>
      <c r="C649" t="s">
        <v>37</v>
      </c>
      <c r="D649" t="s">
        <v>34</v>
      </c>
      <c r="E649" t="s">
        <v>26</v>
      </c>
      <c r="F649" s="1">
        <v>45528</v>
      </c>
      <c r="G649" s="1">
        <v>45552</v>
      </c>
      <c r="H649">
        <v>265847</v>
      </c>
      <c r="I649">
        <v>24298</v>
      </c>
      <c r="J649">
        <v>3132</v>
      </c>
      <c r="K649">
        <v>4980.49</v>
      </c>
      <c r="L649">
        <v>23219.61</v>
      </c>
      <c r="M649">
        <v>9.14</v>
      </c>
      <c r="N649">
        <v>12.89</v>
      </c>
      <c r="O649">
        <v>0.2</v>
      </c>
      <c r="P649">
        <v>1.59</v>
      </c>
      <c r="Q649">
        <v>4.66</v>
      </c>
      <c r="R649">
        <v>366.21</v>
      </c>
    </row>
    <row r="650" spans="1:18" x14ac:dyDescent="0.3">
      <c r="A650" t="s">
        <v>1328</v>
      </c>
      <c r="B650" t="s">
        <v>1329</v>
      </c>
      <c r="C650" t="s">
        <v>20</v>
      </c>
      <c r="D650" t="s">
        <v>30</v>
      </c>
      <c r="E650" t="s">
        <v>41</v>
      </c>
      <c r="F650" s="1">
        <v>45368</v>
      </c>
      <c r="G650" s="1">
        <v>45411</v>
      </c>
      <c r="H650">
        <v>179935</v>
      </c>
      <c r="I650">
        <v>6855</v>
      </c>
      <c r="J650">
        <v>512</v>
      </c>
      <c r="K650">
        <v>22836.45</v>
      </c>
      <c r="L650">
        <v>106485.73</v>
      </c>
      <c r="M650">
        <v>3.81</v>
      </c>
      <c r="N650">
        <v>7.48</v>
      </c>
      <c r="O650">
        <v>3.33</v>
      </c>
      <c r="P650">
        <v>44.6</v>
      </c>
      <c r="Q650">
        <v>4.66</v>
      </c>
      <c r="R650">
        <v>366.3</v>
      </c>
    </row>
    <row r="651" spans="1:18" x14ac:dyDescent="0.3">
      <c r="A651" t="s">
        <v>1330</v>
      </c>
      <c r="B651" t="s">
        <v>1331</v>
      </c>
      <c r="C651" t="s">
        <v>20</v>
      </c>
      <c r="D651" t="s">
        <v>30</v>
      </c>
      <c r="E651" t="s">
        <v>26</v>
      </c>
      <c r="F651" s="1">
        <v>45493</v>
      </c>
      <c r="G651" s="1">
        <v>45530</v>
      </c>
      <c r="H651">
        <v>71002</v>
      </c>
      <c r="I651">
        <v>4593</v>
      </c>
      <c r="J651">
        <v>385</v>
      </c>
      <c r="K651">
        <v>15084.33</v>
      </c>
      <c r="L651">
        <v>59064.800000000003</v>
      </c>
      <c r="M651">
        <v>6.47</v>
      </c>
      <c r="N651">
        <v>8.4</v>
      </c>
      <c r="O651">
        <v>3.28</v>
      </c>
      <c r="P651">
        <v>39.18</v>
      </c>
      <c r="Q651">
        <v>3.92</v>
      </c>
      <c r="R651">
        <v>291.56</v>
      </c>
    </row>
    <row r="652" spans="1:18" x14ac:dyDescent="0.3">
      <c r="A652" t="s">
        <v>1332</v>
      </c>
      <c r="B652" t="s">
        <v>1333</v>
      </c>
      <c r="C652" t="s">
        <v>20</v>
      </c>
      <c r="D652" t="s">
        <v>30</v>
      </c>
      <c r="E652" t="s">
        <v>38</v>
      </c>
      <c r="F652" s="1">
        <v>45403</v>
      </c>
      <c r="G652" s="1">
        <v>45418</v>
      </c>
      <c r="H652">
        <v>176097</v>
      </c>
      <c r="I652">
        <v>4983</v>
      </c>
      <c r="J652">
        <v>424</v>
      </c>
      <c r="K652">
        <v>18863.2</v>
      </c>
      <c r="L652">
        <v>72241.929999999993</v>
      </c>
      <c r="M652">
        <v>2.83</v>
      </c>
      <c r="N652">
        <v>8.52</v>
      </c>
      <c r="O652">
        <v>3.79</v>
      </c>
      <c r="P652">
        <v>44.49</v>
      </c>
      <c r="Q652">
        <v>3.83</v>
      </c>
      <c r="R652">
        <v>282.98</v>
      </c>
    </row>
    <row r="653" spans="1:18" x14ac:dyDescent="0.3">
      <c r="A653" t="s">
        <v>1334</v>
      </c>
      <c r="B653" t="s">
        <v>1335</v>
      </c>
      <c r="C653" t="s">
        <v>44</v>
      </c>
      <c r="D653" t="s">
        <v>57</v>
      </c>
      <c r="E653" t="s">
        <v>41</v>
      </c>
      <c r="F653" s="1">
        <v>45527</v>
      </c>
      <c r="G653" s="1">
        <v>45570</v>
      </c>
      <c r="H653">
        <v>389549</v>
      </c>
      <c r="I653">
        <v>14802</v>
      </c>
      <c r="J653">
        <v>230</v>
      </c>
      <c r="K653">
        <v>10862.95</v>
      </c>
      <c r="L653">
        <v>29635.35</v>
      </c>
      <c r="M653">
        <v>3.8</v>
      </c>
      <c r="N653">
        <v>1.56</v>
      </c>
      <c r="O653">
        <v>0.73</v>
      </c>
      <c r="P653">
        <v>47.23</v>
      </c>
      <c r="Q653">
        <v>2.73</v>
      </c>
      <c r="R653">
        <v>172.81</v>
      </c>
    </row>
    <row r="654" spans="1:18" x14ac:dyDescent="0.3">
      <c r="A654" t="s">
        <v>1336</v>
      </c>
      <c r="B654" t="s">
        <v>1337</v>
      </c>
      <c r="C654" t="s">
        <v>37</v>
      </c>
      <c r="D654" t="s">
        <v>21</v>
      </c>
      <c r="E654" t="s">
        <v>38</v>
      </c>
      <c r="F654" s="1">
        <v>45481</v>
      </c>
      <c r="G654" s="1">
        <v>45517</v>
      </c>
      <c r="H654">
        <v>293144</v>
      </c>
      <c r="I654">
        <v>25298</v>
      </c>
      <c r="J654">
        <v>4234</v>
      </c>
      <c r="K654">
        <v>2324.12</v>
      </c>
      <c r="L654">
        <v>12909.01</v>
      </c>
      <c r="M654">
        <v>8.6300000000000008</v>
      </c>
      <c r="N654">
        <v>16.739999999999998</v>
      </c>
      <c r="O654">
        <v>0.09</v>
      </c>
      <c r="P654">
        <v>0.55000000000000004</v>
      </c>
      <c r="Q654">
        <v>5.55</v>
      </c>
      <c r="R654">
        <v>455.44</v>
      </c>
    </row>
    <row r="655" spans="1:18" x14ac:dyDescent="0.3">
      <c r="A655" t="s">
        <v>1338</v>
      </c>
      <c r="B655" t="s">
        <v>1339</v>
      </c>
      <c r="C655" t="s">
        <v>20</v>
      </c>
      <c r="D655" t="s">
        <v>21</v>
      </c>
      <c r="E655" t="s">
        <v>38</v>
      </c>
      <c r="F655" s="1">
        <v>45605</v>
      </c>
      <c r="G655" s="1">
        <v>45646</v>
      </c>
      <c r="H655">
        <v>412152</v>
      </c>
      <c r="I655">
        <v>15785</v>
      </c>
      <c r="J655">
        <v>662</v>
      </c>
      <c r="K655">
        <v>13518.05</v>
      </c>
      <c r="L655">
        <v>43447.72</v>
      </c>
      <c r="M655">
        <v>3.83</v>
      </c>
      <c r="N655">
        <v>4.2</v>
      </c>
      <c r="O655">
        <v>0.86</v>
      </c>
      <c r="P655">
        <v>20.420000000000002</v>
      </c>
      <c r="Q655">
        <v>3.21</v>
      </c>
      <c r="R655">
        <v>221.41</v>
      </c>
    </row>
    <row r="656" spans="1:18" x14ac:dyDescent="0.3">
      <c r="A656" t="s">
        <v>1340</v>
      </c>
      <c r="B656" t="s">
        <v>1341</v>
      </c>
      <c r="C656" t="s">
        <v>37</v>
      </c>
      <c r="D656" t="s">
        <v>34</v>
      </c>
      <c r="E656" t="s">
        <v>26</v>
      </c>
      <c r="F656" s="1">
        <v>45478</v>
      </c>
      <c r="G656" s="1">
        <v>45488</v>
      </c>
      <c r="H656">
        <v>375297</v>
      </c>
      <c r="I656">
        <v>34865</v>
      </c>
      <c r="J656">
        <v>5355</v>
      </c>
      <c r="K656">
        <v>746.65</v>
      </c>
      <c r="L656">
        <v>4669.51</v>
      </c>
      <c r="M656">
        <v>9.2899999999999991</v>
      </c>
      <c r="N656">
        <v>15.36</v>
      </c>
      <c r="O656">
        <v>0.02</v>
      </c>
      <c r="P656">
        <v>0.14000000000000001</v>
      </c>
      <c r="Q656">
        <v>6.25</v>
      </c>
      <c r="R656">
        <v>525.39</v>
      </c>
    </row>
    <row r="657" spans="1:18" x14ac:dyDescent="0.3">
      <c r="A657" t="s">
        <v>1342</v>
      </c>
      <c r="B657" t="s">
        <v>1343</v>
      </c>
      <c r="C657" t="s">
        <v>20</v>
      </c>
      <c r="D657" t="s">
        <v>30</v>
      </c>
      <c r="E657" t="s">
        <v>22</v>
      </c>
      <c r="F657" s="1">
        <v>45326</v>
      </c>
      <c r="G657" s="1">
        <v>45368</v>
      </c>
      <c r="H657">
        <v>293978</v>
      </c>
      <c r="I657">
        <v>14640</v>
      </c>
      <c r="J657">
        <v>906</v>
      </c>
      <c r="K657">
        <v>8505.35</v>
      </c>
      <c r="L657">
        <v>38397.89</v>
      </c>
      <c r="M657">
        <v>4.9800000000000004</v>
      </c>
      <c r="N657">
        <v>6.19</v>
      </c>
      <c r="O657">
        <v>0.57999999999999996</v>
      </c>
      <c r="P657">
        <v>9.39</v>
      </c>
      <c r="Q657">
        <v>4.51</v>
      </c>
      <c r="R657">
        <v>351.46</v>
      </c>
    </row>
    <row r="658" spans="1:18" x14ac:dyDescent="0.3">
      <c r="A658" t="s">
        <v>1344</v>
      </c>
      <c r="B658" t="s">
        <v>1345</v>
      </c>
      <c r="C658" t="s">
        <v>29</v>
      </c>
      <c r="D658" t="s">
        <v>34</v>
      </c>
      <c r="E658" t="s">
        <v>22</v>
      </c>
      <c r="F658" s="1">
        <v>45399</v>
      </c>
      <c r="G658" s="1">
        <v>45420</v>
      </c>
      <c r="H658">
        <v>175112</v>
      </c>
      <c r="I658">
        <v>5463</v>
      </c>
      <c r="J658">
        <v>286</v>
      </c>
      <c r="K658">
        <v>14060.7</v>
      </c>
      <c r="L658">
        <v>75720.34</v>
      </c>
      <c r="M658">
        <v>3.12</v>
      </c>
      <c r="N658">
        <v>5.25</v>
      </c>
      <c r="O658">
        <v>2.57</v>
      </c>
      <c r="P658">
        <v>49.16</v>
      </c>
      <c r="Q658">
        <v>5.39</v>
      </c>
      <c r="R658">
        <v>438.52</v>
      </c>
    </row>
    <row r="659" spans="1:18" x14ac:dyDescent="0.3">
      <c r="A659" t="s">
        <v>1346</v>
      </c>
      <c r="B659" t="s">
        <v>1347</v>
      </c>
      <c r="C659" t="s">
        <v>44</v>
      </c>
      <c r="D659" t="s">
        <v>57</v>
      </c>
      <c r="E659" t="s">
        <v>22</v>
      </c>
      <c r="F659" s="1">
        <v>45540</v>
      </c>
      <c r="G659" s="1">
        <v>45579</v>
      </c>
      <c r="H659">
        <v>314013</v>
      </c>
      <c r="I659">
        <v>9326</v>
      </c>
      <c r="J659">
        <v>230</v>
      </c>
      <c r="K659">
        <v>3292.11</v>
      </c>
      <c r="L659">
        <v>11698.58</v>
      </c>
      <c r="M659">
        <v>2.97</v>
      </c>
      <c r="N659">
        <v>2.4700000000000002</v>
      </c>
      <c r="O659">
        <v>0.35</v>
      </c>
      <c r="P659">
        <v>14.31</v>
      </c>
      <c r="Q659">
        <v>3.55</v>
      </c>
      <c r="R659">
        <v>255.35</v>
      </c>
    </row>
    <row r="660" spans="1:18" x14ac:dyDescent="0.3">
      <c r="A660" t="s">
        <v>1348</v>
      </c>
      <c r="B660" t="s">
        <v>1349</v>
      </c>
      <c r="C660" t="s">
        <v>37</v>
      </c>
      <c r="D660" t="s">
        <v>21</v>
      </c>
      <c r="E660" t="s">
        <v>38</v>
      </c>
      <c r="F660" s="1">
        <v>45480</v>
      </c>
      <c r="G660" s="1">
        <v>45491</v>
      </c>
      <c r="H660">
        <v>422152</v>
      </c>
      <c r="I660">
        <v>30352</v>
      </c>
      <c r="J660">
        <v>4932</v>
      </c>
      <c r="K660">
        <v>4547.53</v>
      </c>
      <c r="L660">
        <v>18344.29</v>
      </c>
      <c r="M660">
        <v>7.19</v>
      </c>
      <c r="N660">
        <v>16.25</v>
      </c>
      <c r="O660">
        <v>0.15</v>
      </c>
      <c r="P660">
        <v>0.92</v>
      </c>
      <c r="Q660">
        <v>4.03</v>
      </c>
      <c r="R660">
        <v>303.39</v>
      </c>
    </row>
    <row r="661" spans="1:18" x14ac:dyDescent="0.3">
      <c r="A661" t="s">
        <v>1350</v>
      </c>
      <c r="B661" t="s">
        <v>1351</v>
      </c>
      <c r="C661" t="s">
        <v>29</v>
      </c>
      <c r="D661" t="s">
        <v>30</v>
      </c>
      <c r="E661" t="s">
        <v>26</v>
      </c>
      <c r="F661" s="1">
        <v>45376</v>
      </c>
      <c r="G661" s="1">
        <v>45400</v>
      </c>
      <c r="H661">
        <v>92032</v>
      </c>
      <c r="I661">
        <v>2457</v>
      </c>
      <c r="J661">
        <v>71</v>
      </c>
      <c r="K661">
        <v>17373.849999999999</v>
      </c>
      <c r="L661">
        <v>40763.620000000003</v>
      </c>
      <c r="M661">
        <v>2.67</v>
      </c>
      <c r="N661">
        <v>2.89</v>
      </c>
      <c r="O661">
        <v>7.07</v>
      </c>
      <c r="P661">
        <v>244.7</v>
      </c>
      <c r="Q661">
        <v>2.35</v>
      </c>
      <c r="R661">
        <v>134.63</v>
      </c>
    </row>
    <row r="662" spans="1:18" x14ac:dyDescent="0.3">
      <c r="A662" t="s">
        <v>1352</v>
      </c>
      <c r="B662" t="s">
        <v>1353</v>
      </c>
      <c r="C662" t="s">
        <v>20</v>
      </c>
      <c r="D662" t="s">
        <v>34</v>
      </c>
      <c r="E662" t="s">
        <v>38</v>
      </c>
      <c r="F662" s="1">
        <v>45569</v>
      </c>
      <c r="G662" s="1">
        <v>45584</v>
      </c>
      <c r="H662">
        <v>128904</v>
      </c>
      <c r="I662">
        <v>7734</v>
      </c>
      <c r="J662">
        <v>550</v>
      </c>
      <c r="K662">
        <v>17545.52</v>
      </c>
      <c r="L662">
        <v>58238.19</v>
      </c>
      <c r="M662">
        <v>6</v>
      </c>
      <c r="N662">
        <v>7.12</v>
      </c>
      <c r="O662">
        <v>2.27</v>
      </c>
      <c r="P662">
        <v>31.9</v>
      </c>
      <c r="Q662">
        <v>3.32</v>
      </c>
      <c r="R662">
        <v>231.93</v>
      </c>
    </row>
    <row r="663" spans="1:18" x14ac:dyDescent="0.3">
      <c r="A663" t="s">
        <v>1354</v>
      </c>
      <c r="B663" t="s">
        <v>1355</v>
      </c>
      <c r="C663" t="s">
        <v>25</v>
      </c>
      <c r="D663" t="s">
        <v>57</v>
      </c>
      <c r="E663" t="s">
        <v>38</v>
      </c>
      <c r="F663" s="1">
        <v>45410</v>
      </c>
      <c r="G663" s="1">
        <v>45450</v>
      </c>
      <c r="H663">
        <v>282710</v>
      </c>
      <c r="I663">
        <v>5795</v>
      </c>
      <c r="J663">
        <v>298</v>
      </c>
      <c r="K663">
        <v>7024.97</v>
      </c>
      <c r="L663">
        <v>14746.57</v>
      </c>
      <c r="M663">
        <v>2.0499999999999998</v>
      </c>
      <c r="N663">
        <v>5.15</v>
      </c>
      <c r="O663">
        <v>1.21</v>
      </c>
      <c r="P663">
        <v>23.57</v>
      </c>
      <c r="Q663">
        <v>2.1</v>
      </c>
      <c r="R663">
        <v>109.92</v>
      </c>
    </row>
    <row r="664" spans="1:18" x14ac:dyDescent="0.3">
      <c r="A664" t="s">
        <v>1356</v>
      </c>
      <c r="B664" t="s">
        <v>1357</v>
      </c>
      <c r="C664" t="s">
        <v>44</v>
      </c>
      <c r="D664" t="s">
        <v>30</v>
      </c>
      <c r="E664" t="s">
        <v>31</v>
      </c>
      <c r="F664" s="1">
        <v>45563</v>
      </c>
      <c r="G664" s="1">
        <v>45605</v>
      </c>
      <c r="H664">
        <v>229721</v>
      </c>
      <c r="I664">
        <v>6661</v>
      </c>
      <c r="J664">
        <v>283</v>
      </c>
      <c r="K664">
        <v>8576.85</v>
      </c>
      <c r="L664">
        <v>42852.94</v>
      </c>
      <c r="M664">
        <v>2.9</v>
      </c>
      <c r="N664">
        <v>4.25</v>
      </c>
      <c r="O664">
        <v>1.29</v>
      </c>
      <c r="P664">
        <v>30.31</v>
      </c>
      <c r="Q664">
        <v>5</v>
      </c>
      <c r="R664">
        <v>399.63</v>
      </c>
    </row>
    <row r="665" spans="1:18" x14ac:dyDescent="0.3">
      <c r="A665" t="s">
        <v>1358</v>
      </c>
      <c r="B665" t="s">
        <v>1359</v>
      </c>
      <c r="C665" t="s">
        <v>25</v>
      </c>
      <c r="D665" t="s">
        <v>30</v>
      </c>
      <c r="E665" t="s">
        <v>22</v>
      </c>
      <c r="F665" s="1">
        <v>45539</v>
      </c>
      <c r="G665" s="1">
        <v>45569</v>
      </c>
      <c r="H665">
        <v>347403</v>
      </c>
      <c r="I665">
        <v>3543</v>
      </c>
      <c r="J665">
        <v>373</v>
      </c>
      <c r="K665">
        <v>6747.79</v>
      </c>
      <c r="L665">
        <v>21390.720000000001</v>
      </c>
      <c r="M665">
        <v>1.02</v>
      </c>
      <c r="N665">
        <v>10.53</v>
      </c>
      <c r="O665">
        <v>1.9</v>
      </c>
      <c r="P665">
        <v>18.09</v>
      </c>
      <c r="Q665">
        <v>3.17</v>
      </c>
      <c r="R665">
        <v>217</v>
      </c>
    </row>
    <row r="666" spans="1:18" x14ac:dyDescent="0.3">
      <c r="A666" t="s">
        <v>1360</v>
      </c>
      <c r="B666" t="s">
        <v>1361</v>
      </c>
      <c r="C666" t="s">
        <v>44</v>
      </c>
      <c r="D666" t="s">
        <v>21</v>
      </c>
      <c r="E666" t="s">
        <v>41</v>
      </c>
      <c r="F666" s="1">
        <v>45566</v>
      </c>
      <c r="G666" s="1">
        <v>45591</v>
      </c>
      <c r="H666">
        <v>235137</v>
      </c>
      <c r="I666">
        <v>4561</v>
      </c>
      <c r="J666">
        <v>221</v>
      </c>
      <c r="K666">
        <v>10232.879999999999</v>
      </c>
      <c r="L666">
        <v>27869.81</v>
      </c>
      <c r="M666">
        <v>1.94</v>
      </c>
      <c r="N666">
        <v>4.8499999999999996</v>
      </c>
      <c r="O666">
        <v>2.2400000000000002</v>
      </c>
      <c r="P666">
        <v>46.3</v>
      </c>
      <c r="Q666">
        <v>2.72</v>
      </c>
      <c r="R666">
        <v>172.36</v>
      </c>
    </row>
    <row r="667" spans="1:18" x14ac:dyDescent="0.3">
      <c r="A667" t="s">
        <v>1362</v>
      </c>
      <c r="B667" t="s">
        <v>1363</v>
      </c>
      <c r="C667" t="s">
        <v>29</v>
      </c>
      <c r="D667" t="s">
        <v>34</v>
      </c>
      <c r="E667" t="s">
        <v>41</v>
      </c>
      <c r="F667" s="1">
        <v>45425</v>
      </c>
      <c r="G667" s="1">
        <v>45455</v>
      </c>
      <c r="H667">
        <v>134543</v>
      </c>
      <c r="I667">
        <v>2973</v>
      </c>
      <c r="J667">
        <v>65</v>
      </c>
      <c r="K667">
        <v>7749.39</v>
      </c>
      <c r="L667">
        <v>19909.2</v>
      </c>
      <c r="M667">
        <v>2.21</v>
      </c>
      <c r="N667">
        <v>2.21</v>
      </c>
      <c r="O667">
        <v>2.61</v>
      </c>
      <c r="P667">
        <v>119.22</v>
      </c>
      <c r="Q667">
        <v>2.57</v>
      </c>
      <c r="R667">
        <v>156.91</v>
      </c>
    </row>
    <row r="668" spans="1:18" x14ac:dyDescent="0.3">
      <c r="A668" t="s">
        <v>1364</v>
      </c>
      <c r="B668" t="s">
        <v>1365</v>
      </c>
      <c r="C668" t="s">
        <v>29</v>
      </c>
      <c r="D668" t="s">
        <v>34</v>
      </c>
      <c r="E668" t="s">
        <v>31</v>
      </c>
      <c r="F668" s="1">
        <v>45568</v>
      </c>
      <c r="G668" s="1">
        <v>45585</v>
      </c>
      <c r="H668">
        <v>420742</v>
      </c>
      <c r="I668">
        <v>6731</v>
      </c>
      <c r="J668">
        <v>240</v>
      </c>
      <c r="K668">
        <v>8157.71</v>
      </c>
      <c r="L668">
        <v>30005.01</v>
      </c>
      <c r="M668">
        <v>1.6</v>
      </c>
      <c r="N668">
        <v>3.58</v>
      </c>
      <c r="O668">
        <v>1.21</v>
      </c>
      <c r="P668">
        <v>33.99</v>
      </c>
      <c r="Q668">
        <v>3.68</v>
      </c>
      <c r="R668">
        <v>267.81</v>
      </c>
    </row>
    <row r="669" spans="1:18" x14ac:dyDescent="0.3">
      <c r="A669" t="s">
        <v>1366</v>
      </c>
      <c r="B669" t="s">
        <v>1367</v>
      </c>
      <c r="C669" t="s">
        <v>37</v>
      </c>
      <c r="D669" t="s">
        <v>57</v>
      </c>
      <c r="E669" t="s">
        <v>26</v>
      </c>
      <c r="F669" s="1">
        <v>45455</v>
      </c>
      <c r="G669" s="1">
        <v>45471</v>
      </c>
      <c r="H669">
        <v>63067</v>
      </c>
      <c r="I669">
        <v>4055</v>
      </c>
      <c r="J669">
        <v>526</v>
      </c>
      <c r="K669">
        <v>1154.23</v>
      </c>
      <c r="L669">
        <v>4687.54</v>
      </c>
      <c r="M669">
        <v>6.43</v>
      </c>
      <c r="N669">
        <v>12.99</v>
      </c>
      <c r="O669">
        <v>0.28000000000000003</v>
      </c>
      <c r="P669">
        <v>2.19</v>
      </c>
      <c r="Q669">
        <v>4.0599999999999996</v>
      </c>
      <c r="R669">
        <v>306.12</v>
      </c>
    </row>
    <row r="670" spans="1:18" x14ac:dyDescent="0.3">
      <c r="A670" t="s">
        <v>1368</v>
      </c>
      <c r="B670" t="s">
        <v>1369</v>
      </c>
      <c r="C670" t="s">
        <v>20</v>
      </c>
      <c r="D670" t="s">
        <v>57</v>
      </c>
      <c r="E670" t="s">
        <v>22</v>
      </c>
      <c r="F670" s="1">
        <v>45367</v>
      </c>
      <c r="G670" s="1">
        <v>45410</v>
      </c>
      <c r="H670">
        <v>298465</v>
      </c>
      <c r="I670">
        <v>18146</v>
      </c>
      <c r="J670">
        <v>1781</v>
      </c>
      <c r="K670">
        <v>20083.23</v>
      </c>
      <c r="L670">
        <v>130004.69</v>
      </c>
      <c r="M670">
        <v>6.08</v>
      </c>
      <c r="N670">
        <v>9.82</v>
      </c>
      <c r="O670">
        <v>1.1100000000000001</v>
      </c>
      <c r="P670">
        <v>11.28</v>
      </c>
      <c r="Q670">
        <v>6.47</v>
      </c>
      <c r="R670">
        <v>547.33000000000004</v>
      </c>
    </row>
    <row r="671" spans="1:18" x14ac:dyDescent="0.3">
      <c r="A671" t="s">
        <v>1370</v>
      </c>
      <c r="B671" t="s">
        <v>1371</v>
      </c>
      <c r="C671" t="s">
        <v>25</v>
      </c>
      <c r="D671" t="s">
        <v>57</v>
      </c>
      <c r="E671" t="s">
        <v>26</v>
      </c>
      <c r="F671" s="1">
        <v>45304</v>
      </c>
      <c r="G671" s="1">
        <v>45336</v>
      </c>
      <c r="H671">
        <v>433590</v>
      </c>
      <c r="I671">
        <v>6980</v>
      </c>
      <c r="J671">
        <v>368</v>
      </c>
      <c r="K671">
        <v>14848.13</v>
      </c>
      <c r="L671">
        <v>37505.519999999997</v>
      </c>
      <c r="M671">
        <v>1.61</v>
      </c>
      <c r="N671">
        <v>5.28</v>
      </c>
      <c r="O671">
        <v>2.13</v>
      </c>
      <c r="P671">
        <v>40.35</v>
      </c>
      <c r="Q671">
        <v>2.5299999999999998</v>
      </c>
      <c r="R671">
        <v>152.59</v>
      </c>
    </row>
    <row r="672" spans="1:18" x14ac:dyDescent="0.3">
      <c r="A672" t="s">
        <v>1372</v>
      </c>
      <c r="B672" t="s">
        <v>1373</v>
      </c>
      <c r="C672" t="s">
        <v>37</v>
      </c>
      <c r="D672" t="s">
        <v>34</v>
      </c>
      <c r="E672" t="s">
        <v>38</v>
      </c>
      <c r="F672" s="1">
        <v>45405</v>
      </c>
      <c r="G672" s="1">
        <v>45429</v>
      </c>
      <c r="H672">
        <v>237377</v>
      </c>
      <c r="I672">
        <v>10800</v>
      </c>
      <c r="J672">
        <v>923</v>
      </c>
      <c r="K672">
        <v>3385.91</v>
      </c>
      <c r="L672">
        <v>15661.33</v>
      </c>
      <c r="M672">
        <v>4.55</v>
      </c>
      <c r="N672">
        <v>8.5500000000000007</v>
      </c>
      <c r="O672">
        <v>0.31</v>
      </c>
      <c r="P672">
        <v>3.67</v>
      </c>
      <c r="Q672">
        <v>4.63</v>
      </c>
      <c r="R672">
        <v>362.54</v>
      </c>
    </row>
    <row r="673" spans="1:18" x14ac:dyDescent="0.3">
      <c r="A673" t="s">
        <v>1374</v>
      </c>
      <c r="B673" t="s">
        <v>1375</v>
      </c>
      <c r="C673" t="s">
        <v>29</v>
      </c>
      <c r="D673" t="s">
        <v>21</v>
      </c>
      <c r="E673" t="s">
        <v>26</v>
      </c>
      <c r="F673" s="1">
        <v>45493</v>
      </c>
      <c r="G673" s="1">
        <v>45512</v>
      </c>
      <c r="H673">
        <v>332283</v>
      </c>
      <c r="I673">
        <v>13457</v>
      </c>
      <c r="J673">
        <v>725</v>
      </c>
      <c r="K673">
        <v>17364.36</v>
      </c>
      <c r="L673">
        <v>110980.45</v>
      </c>
      <c r="M673">
        <v>4.05</v>
      </c>
      <c r="N673">
        <v>5.39</v>
      </c>
      <c r="O673">
        <v>1.29</v>
      </c>
      <c r="P673">
        <v>23.95</v>
      </c>
      <c r="Q673">
        <v>6.39</v>
      </c>
      <c r="R673">
        <v>539.13</v>
      </c>
    </row>
    <row r="674" spans="1:18" x14ac:dyDescent="0.3">
      <c r="A674" t="s">
        <v>1376</v>
      </c>
      <c r="B674" t="s">
        <v>1377</v>
      </c>
      <c r="C674" t="s">
        <v>25</v>
      </c>
      <c r="D674" t="s">
        <v>57</v>
      </c>
      <c r="E674" t="s">
        <v>31</v>
      </c>
      <c r="F674" s="1">
        <v>45510</v>
      </c>
      <c r="G674" s="1">
        <v>45540</v>
      </c>
      <c r="H674">
        <v>367235</v>
      </c>
      <c r="I674">
        <v>6132</v>
      </c>
      <c r="J674">
        <v>330</v>
      </c>
      <c r="K674">
        <v>14668.26</v>
      </c>
      <c r="L674">
        <v>55578.2</v>
      </c>
      <c r="M674">
        <v>1.67</v>
      </c>
      <c r="N674">
        <v>5.39</v>
      </c>
      <c r="O674">
        <v>2.39</v>
      </c>
      <c r="P674">
        <v>44.45</v>
      </c>
      <c r="Q674">
        <v>3.79</v>
      </c>
      <c r="R674">
        <v>278.89999999999998</v>
      </c>
    </row>
    <row r="675" spans="1:18" x14ac:dyDescent="0.3">
      <c r="A675" t="s">
        <v>1378</v>
      </c>
      <c r="B675" t="s">
        <v>1379</v>
      </c>
      <c r="C675" t="s">
        <v>25</v>
      </c>
      <c r="D675" t="s">
        <v>57</v>
      </c>
      <c r="E675" t="s">
        <v>26</v>
      </c>
      <c r="F675" s="1">
        <v>45402</v>
      </c>
      <c r="G675" s="1">
        <v>45437</v>
      </c>
      <c r="H675">
        <v>199238</v>
      </c>
      <c r="I675">
        <v>2769</v>
      </c>
      <c r="J675">
        <v>198</v>
      </c>
      <c r="K675">
        <v>11129.22</v>
      </c>
      <c r="L675">
        <v>50355.81</v>
      </c>
      <c r="M675">
        <v>1.39</v>
      </c>
      <c r="N675">
        <v>7.16</v>
      </c>
      <c r="O675">
        <v>4.0199999999999996</v>
      </c>
      <c r="P675">
        <v>56.21</v>
      </c>
      <c r="Q675">
        <v>4.5199999999999996</v>
      </c>
      <c r="R675">
        <v>352.46</v>
      </c>
    </row>
    <row r="676" spans="1:18" x14ac:dyDescent="0.3">
      <c r="A676" t="s">
        <v>1380</v>
      </c>
      <c r="B676" t="s">
        <v>1381</v>
      </c>
      <c r="C676" t="s">
        <v>25</v>
      </c>
      <c r="D676" t="s">
        <v>30</v>
      </c>
      <c r="E676" t="s">
        <v>22</v>
      </c>
      <c r="F676" s="1">
        <v>45363</v>
      </c>
      <c r="G676" s="1">
        <v>45407</v>
      </c>
      <c r="H676">
        <v>135873</v>
      </c>
      <c r="I676">
        <v>2948</v>
      </c>
      <c r="J676">
        <v>347</v>
      </c>
      <c r="K676">
        <v>10781.32</v>
      </c>
      <c r="L676">
        <v>65053.73</v>
      </c>
      <c r="M676">
        <v>2.17</v>
      </c>
      <c r="N676">
        <v>11.79</v>
      </c>
      <c r="O676">
        <v>3.66</v>
      </c>
      <c r="P676">
        <v>31.07</v>
      </c>
      <c r="Q676">
        <v>6.03</v>
      </c>
      <c r="R676">
        <v>503.39</v>
      </c>
    </row>
    <row r="677" spans="1:18" x14ac:dyDescent="0.3">
      <c r="A677" t="s">
        <v>1382</v>
      </c>
      <c r="B677" t="s">
        <v>1383</v>
      </c>
      <c r="C677" t="s">
        <v>37</v>
      </c>
      <c r="D677" t="s">
        <v>21</v>
      </c>
      <c r="E677" t="s">
        <v>41</v>
      </c>
      <c r="F677" s="1">
        <v>45594</v>
      </c>
      <c r="G677" s="1">
        <v>45625</v>
      </c>
      <c r="H677">
        <v>158938</v>
      </c>
      <c r="I677">
        <v>9250</v>
      </c>
      <c r="J677">
        <v>1653</v>
      </c>
      <c r="K677">
        <v>2863.85</v>
      </c>
      <c r="L677">
        <v>10050.32</v>
      </c>
      <c r="M677">
        <v>5.82</v>
      </c>
      <c r="N677">
        <v>17.88</v>
      </c>
      <c r="O677">
        <v>0.31</v>
      </c>
      <c r="P677">
        <v>1.73</v>
      </c>
      <c r="Q677">
        <v>3.51</v>
      </c>
      <c r="R677">
        <v>250.94</v>
      </c>
    </row>
    <row r="678" spans="1:18" x14ac:dyDescent="0.3">
      <c r="A678" t="s">
        <v>1384</v>
      </c>
      <c r="B678" t="s">
        <v>1385</v>
      </c>
      <c r="C678" t="s">
        <v>20</v>
      </c>
      <c r="D678" t="s">
        <v>21</v>
      </c>
      <c r="E678" t="s">
        <v>38</v>
      </c>
      <c r="F678" s="1">
        <v>45362</v>
      </c>
      <c r="G678" s="1">
        <v>45381</v>
      </c>
      <c r="H678">
        <v>384918</v>
      </c>
      <c r="I678">
        <v>23710</v>
      </c>
      <c r="J678">
        <v>1538</v>
      </c>
      <c r="K678">
        <v>16116.28</v>
      </c>
      <c r="L678">
        <v>83741.990000000005</v>
      </c>
      <c r="M678">
        <v>6.16</v>
      </c>
      <c r="N678">
        <v>6.49</v>
      </c>
      <c r="O678">
        <v>0.68</v>
      </c>
      <c r="P678">
        <v>10.48</v>
      </c>
      <c r="Q678">
        <v>5.2</v>
      </c>
      <c r="R678">
        <v>419.61</v>
      </c>
    </row>
    <row r="679" spans="1:18" x14ac:dyDescent="0.3">
      <c r="A679" t="s">
        <v>1386</v>
      </c>
      <c r="B679" t="s">
        <v>1387</v>
      </c>
      <c r="C679" t="s">
        <v>29</v>
      </c>
      <c r="D679" t="s">
        <v>30</v>
      </c>
      <c r="E679" t="s">
        <v>22</v>
      </c>
      <c r="F679" s="1">
        <v>45544</v>
      </c>
      <c r="G679" s="1">
        <v>45586</v>
      </c>
      <c r="H679">
        <v>340385</v>
      </c>
      <c r="I679">
        <v>10109</v>
      </c>
      <c r="J679">
        <v>617</v>
      </c>
      <c r="K679">
        <v>7529.89</v>
      </c>
      <c r="L679">
        <v>34889.269999999997</v>
      </c>
      <c r="M679">
        <v>2.97</v>
      </c>
      <c r="N679">
        <v>6.11</v>
      </c>
      <c r="O679">
        <v>0.74</v>
      </c>
      <c r="P679">
        <v>12.2</v>
      </c>
      <c r="Q679">
        <v>4.63</v>
      </c>
      <c r="R679">
        <v>363.34</v>
      </c>
    </row>
    <row r="680" spans="1:18" x14ac:dyDescent="0.3">
      <c r="A680" t="s">
        <v>1388</v>
      </c>
      <c r="B680" t="s">
        <v>1389</v>
      </c>
      <c r="C680" t="s">
        <v>25</v>
      </c>
      <c r="D680" t="s">
        <v>34</v>
      </c>
      <c r="E680" t="s">
        <v>26</v>
      </c>
      <c r="F680" s="1">
        <v>45533</v>
      </c>
      <c r="G680" s="1">
        <v>45547</v>
      </c>
      <c r="H680">
        <v>464826</v>
      </c>
      <c r="I680">
        <v>3718</v>
      </c>
      <c r="J680">
        <v>254</v>
      </c>
      <c r="K680">
        <v>19296.43</v>
      </c>
      <c r="L680">
        <v>111033.47</v>
      </c>
      <c r="M680">
        <v>0.8</v>
      </c>
      <c r="N680">
        <v>6.84</v>
      </c>
      <c r="O680">
        <v>5.19</v>
      </c>
      <c r="P680">
        <v>75.97</v>
      </c>
      <c r="Q680">
        <v>5.75</v>
      </c>
      <c r="R680">
        <v>475.41</v>
      </c>
    </row>
    <row r="681" spans="1:18" x14ac:dyDescent="0.3">
      <c r="A681" t="s">
        <v>1390</v>
      </c>
      <c r="B681" t="s">
        <v>1391</v>
      </c>
      <c r="C681" t="s">
        <v>44</v>
      </c>
      <c r="D681" t="s">
        <v>30</v>
      </c>
      <c r="E681" t="s">
        <v>41</v>
      </c>
      <c r="F681" s="1">
        <v>45544</v>
      </c>
      <c r="G681" s="1">
        <v>45555</v>
      </c>
      <c r="H681">
        <v>307890</v>
      </c>
      <c r="I681">
        <v>10960</v>
      </c>
      <c r="J681">
        <v>412</v>
      </c>
      <c r="K681">
        <v>2855.53</v>
      </c>
      <c r="L681">
        <v>15537.6</v>
      </c>
      <c r="M681">
        <v>3.56</v>
      </c>
      <c r="N681">
        <v>3.76</v>
      </c>
      <c r="O681">
        <v>0.26</v>
      </c>
      <c r="P681">
        <v>6.93</v>
      </c>
      <c r="Q681">
        <v>5.44</v>
      </c>
      <c r="R681">
        <v>444.12</v>
      </c>
    </row>
    <row r="682" spans="1:18" x14ac:dyDescent="0.3">
      <c r="A682" t="s">
        <v>1392</v>
      </c>
      <c r="B682" t="s">
        <v>1393</v>
      </c>
      <c r="C682" t="s">
        <v>37</v>
      </c>
      <c r="D682" t="s">
        <v>57</v>
      </c>
      <c r="E682" t="s">
        <v>31</v>
      </c>
      <c r="F682" s="1">
        <v>45353</v>
      </c>
      <c r="G682" s="1">
        <v>45383</v>
      </c>
      <c r="H682">
        <v>301912</v>
      </c>
      <c r="I682">
        <v>22311</v>
      </c>
      <c r="J682">
        <v>3721</v>
      </c>
      <c r="K682">
        <v>3325.98</v>
      </c>
      <c r="L682">
        <v>13776.82</v>
      </c>
      <c r="M682">
        <v>7.39</v>
      </c>
      <c r="N682">
        <v>16.68</v>
      </c>
      <c r="O682">
        <v>0.15</v>
      </c>
      <c r="P682">
        <v>0.89</v>
      </c>
      <c r="Q682">
        <v>4.1399999999999997</v>
      </c>
      <c r="R682">
        <v>314.22000000000003</v>
      </c>
    </row>
    <row r="683" spans="1:18" x14ac:dyDescent="0.3">
      <c r="A683" t="s">
        <v>1394</v>
      </c>
      <c r="B683" t="s">
        <v>1395</v>
      </c>
      <c r="C683" t="s">
        <v>37</v>
      </c>
      <c r="D683" t="s">
        <v>21</v>
      </c>
      <c r="E683" t="s">
        <v>22</v>
      </c>
      <c r="F683" s="1">
        <v>45474</v>
      </c>
      <c r="G683" s="1">
        <v>45491</v>
      </c>
      <c r="H683">
        <v>135378</v>
      </c>
      <c r="I683">
        <v>10139</v>
      </c>
      <c r="J683">
        <v>959</v>
      </c>
      <c r="K683">
        <v>2574.6999999999998</v>
      </c>
      <c r="L683">
        <v>13181.88</v>
      </c>
      <c r="M683">
        <v>7.49</v>
      </c>
      <c r="N683">
        <v>9.4600000000000009</v>
      </c>
      <c r="O683">
        <v>0.25</v>
      </c>
      <c r="P683">
        <v>2.68</v>
      </c>
      <c r="Q683">
        <v>5.12</v>
      </c>
      <c r="R683">
        <v>411.98</v>
      </c>
    </row>
    <row r="684" spans="1:18" x14ac:dyDescent="0.3">
      <c r="A684" t="s">
        <v>1396</v>
      </c>
      <c r="B684" t="s">
        <v>1397</v>
      </c>
      <c r="C684" t="s">
        <v>20</v>
      </c>
      <c r="D684" t="s">
        <v>57</v>
      </c>
      <c r="E684" t="s">
        <v>22</v>
      </c>
      <c r="F684" s="1">
        <v>45619</v>
      </c>
      <c r="G684" s="1">
        <v>45630</v>
      </c>
      <c r="H684">
        <v>269946</v>
      </c>
      <c r="I684">
        <v>13605</v>
      </c>
      <c r="J684">
        <v>1323</v>
      </c>
      <c r="K684">
        <v>5974.3</v>
      </c>
      <c r="L684">
        <v>19789.8</v>
      </c>
      <c r="M684">
        <v>5.04</v>
      </c>
      <c r="N684">
        <v>9.73</v>
      </c>
      <c r="O684">
        <v>0.44</v>
      </c>
      <c r="P684">
        <v>4.5199999999999996</v>
      </c>
      <c r="Q684">
        <v>3.31</v>
      </c>
      <c r="R684">
        <v>231.25</v>
      </c>
    </row>
    <row r="685" spans="1:18" x14ac:dyDescent="0.3">
      <c r="A685" t="s">
        <v>1398</v>
      </c>
      <c r="B685" t="s">
        <v>1399</v>
      </c>
      <c r="C685" t="s">
        <v>37</v>
      </c>
      <c r="D685" t="s">
        <v>34</v>
      </c>
      <c r="E685" t="s">
        <v>41</v>
      </c>
      <c r="F685" s="1">
        <v>45446</v>
      </c>
      <c r="G685" s="1">
        <v>45470</v>
      </c>
      <c r="H685">
        <v>450917</v>
      </c>
      <c r="I685">
        <v>20606</v>
      </c>
      <c r="J685">
        <v>3200</v>
      </c>
      <c r="K685">
        <v>2946.71</v>
      </c>
      <c r="L685">
        <v>17462.189999999999</v>
      </c>
      <c r="M685">
        <v>4.57</v>
      </c>
      <c r="N685">
        <v>15.53</v>
      </c>
      <c r="O685">
        <v>0.14000000000000001</v>
      </c>
      <c r="P685">
        <v>0.92</v>
      </c>
      <c r="Q685">
        <v>5.93</v>
      </c>
      <c r="R685">
        <v>492.6</v>
      </c>
    </row>
    <row r="686" spans="1:18" x14ac:dyDescent="0.3">
      <c r="A686" t="s">
        <v>1400</v>
      </c>
      <c r="B686" t="s">
        <v>1401</v>
      </c>
      <c r="C686" t="s">
        <v>44</v>
      </c>
      <c r="D686" t="s">
        <v>21</v>
      </c>
      <c r="E686" t="s">
        <v>31</v>
      </c>
      <c r="F686" s="1">
        <v>45540</v>
      </c>
      <c r="G686" s="1">
        <v>45573</v>
      </c>
      <c r="H686">
        <v>354111</v>
      </c>
      <c r="I686">
        <v>7471</v>
      </c>
      <c r="J686">
        <v>149</v>
      </c>
      <c r="K686">
        <v>4211.87</v>
      </c>
      <c r="L686">
        <v>13757.57</v>
      </c>
      <c r="M686">
        <v>2.11</v>
      </c>
      <c r="N686">
        <v>2</v>
      </c>
      <c r="O686">
        <v>0.56000000000000005</v>
      </c>
      <c r="P686">
        <v>28.27</v>
      </c>
      <c r="Q686">
        <v>3.27</v>
      </c>
      <c r="R686">
        <v>226.64</v>
      </c>
    </row>
    <row r="687" spans="1:18" x14ac:dyDescent="0.3">
      <c r="A687" t="s">
        <v>1402</v>
      </c>
      <c r="B687" t="s">
        <v>1403</v>
      </c>
      <c r="C687" t="s">
        <v>44</v>
      </c>
      <c r="D687" t="s">
        <v>34</v>
      </c>
      <c r="E687" t="s">
        <v>26</v>
      </c>
      <c r="F687" s="1">
        <v>45606</v>
      </c>
      <c r="G687" s="1">
        <v>45646</v>
      </c>
      <c r="H687">
        <v>164229</v>
      </c>
      <c r="I687">
        <v>2627</v>
      </c>
      <c r="J687">
        <v>59</v>
      </c>
      <c r="K687">
        <v>4855.21</v>
      </c>
      <c r="L687">
        <v>29309.71</v>
      </c>
      <c r="M687">
        <v>1.6</v>
      </c>
      <c r="N687">
        <v>2.27</v>
      </c>
      <c r="O687">
        <v>1.85</v>
      </c>
      <c r="P687">
        <v>82.29</v>
      </c>
      <c r="Q687">
        <v>6.04</v>
      </c>
      <c r="R687">
        <v>503.68</v>
      </c>
    </row>
    <row r="688" spans="1:18" x14ac:dyDescent="0.3">
      <c r="A688" t="s">
        <v>1404</v>
      </c>
      <c r="B688" t="s">
        <v>1405</v>
      </c>
      <c r="C688" t="s">
        <v>37</v>
      </c>
      <c r="D688" t="s">
        <v>21</v>
      </c>
      <c r="E688" t="s">
        <v>38</v>
      </c>
      <c r="F688" s="1">
        <v>45470</v>
      </c>
      <c r="G688" s="1">
        <v>45496</v>
      </c>
      <c r="H688">
        <v>291430</v>
      </c>
      <c r="I688">
        <v>27685</v>
      </c>
      <c r="J688">
        <v>2538</v>
      </c>
      <c r="K688">
        <v>1090.54</v>
      </c>
      <c r="L688">
        <v>2266.37</v>
      </c>
      <c r="M688">
        <v>9.5</v>
      </c>
      <c r="N688">
        <v>9.17</v>
      </c>
      <c r="O688">
        <v>0.04</v>
      </c>
      <c r="P688">
        <v>0.43</v>
      </c>
      <c r="Q688">
        <v>2.08</v>
      </c>
      <c r="R688">
        <v>107.82</v>
      </c>
    </row>
    <row r="689" spans="1:18" x14ac:dyDescent="0.3">
      <c r="A689" t="s">
        <v>1406</v>
      </c>
      <c r="B689" t="s">
        <v>1407</v>
      </c>
      <c r="C689" t="s">
        <v>44</v>
      </c>
      <c r="D689" t="s">
        <v>34</v>
      </c>
      <c r="E689" t="s">
        <v>38</v>
      </c>
      <c r="F689" s="1">
        <v>45352</v>
      </c>
      <c r="G689" s="1">
        <v>45373</v>
      </c>
      <c r="H689">
        <v>363340</v>
      </c>
      <c r="I689">
        <v>9301</v>
      </c>
      <c r="J689">
        <v>455</v>
      </c>
      <c r="K689">
        <v>4652.59</v>
      </c>
      <c r="L689">
        <v>15684.25</v>
      </c>
      <c r="M689">
        <v>2.56</v>
      </c>
      <c r="N689">
        <v>4.9000000000000004</v>
      </c>
      <c r="O689">
        <v>0.5</v>
      </c>
      <c r="P689">
        <v>10.23</v>
      </c>
      <c r="Q689">
        <v>3.37</v>
      </c>
      <c r="R689">
        <v>237.11</v>
      </c>
    </row>
    <row r="690" spans="1:18" x14ac:dyDescent="0.3">
      <c r="A690" t="s">
        <v>1408</v>
      </c>
      <c r="B690" t="s">
        <v>1409</v>
      </c>
      <c r="C690" t="s">
        <v>29</v>
      </c>
      <c r="D690" t="s">
        <v>34</v>
      </c>
      <c r="E690" t="s">
        <v>41</v>
      </c>
      <c r="F690" s="1">
        <v>45349</v>
      </c>
      <c r="G690" s="1">
        <v>45360</v>
      </c>
      <c r="H690">
        <v>211180</v>
      </c>
      <c r="I690">
        <v>3970</v>
      </c>
      <c r="J690">
        <v>105</v>
      </c>
      <c r="K690">
        <v>4179.07</v>
      </c>
      <c r="L690">
        <v>21349.54</v>
      </c>
      <c r="M690">
        <v>1.88</v>
      </c>
      <c r="N690">
        <v>2.65</v>
      </c>
      <c r="O690">
        <v>1.05</v>
      </c>
      <c r="P690">
        <v>39.799999999999997</v>
      </c>
      <c r="Q690">
        <v>5.1100000000000003</v>
      </c>
      <c r="R690">
        <v>410.87</v>
      </c>
    </row>
    <row r="691" spans="1:18" x14ac:dyDescent="0.3">
      <c r="A691" t="s">
        <v>1410</v>
      </c>
      <c r="B691" t="s">
        <v>1411</v>
      </c>
      <c r="C691" t="s">
        <v>20</v>
      </c>
      <c r="D691" t="s">
        <v>30</v>
      </c>
      <c r="E691" t="s">
        <v>38</v>
      </c>
      <c r="F691" s="1">
        <v>45532</v>
      </c>
      <c r="G691" s="1">
        <v>45546</v>
      </c>
      <c r="H691">
        <v>72291</v>
      </c>
      <c r="I691">
        <v>2378</v>
      </c>
      <c r="J691">
        <v>99</v>
      </c>
      <c r="K691">
        <v>18195.78</v>
      </c>
      <c r="L691">
        <v>84961.42</v>
      </c>
      <c r="M691">
        <v>3.29</v>
      </c>
      <c r="N691">
        <v>4.2</v>
      </c>
      <c r="O691">
        <v>7.65</v>
      </c>
      <c r="P691">
        <v>183.8</v>
      </c>
      <c r="Q691">
        <v>4.67</v>
      </c>
      <c r="R691">
        <v>366.93</v>
      </c>
    </row>
    <row r="692" spans="1:18" x14ac:dyDescent="0.3">
      <c r="A692" t="s">
        <v>1412</v>
      </c>
      <c r="B692" t="s">
        <v>1413</v>
      </c>
      <c r="C692" t="s">
        <v>44</v>
      </c>
      <c r="D692" t="s">
        <v>21</v>
      </c>
      <c r="E692" t="s">
        <v>26</v>
      </c>
      <c r="F692" s="1">
        <v>45397</v>
      </c>
      <c r="G692" s="1">
        <v>45441</v>
      </c>
      <c r="H692">
        <v>208149</v>
      </c>
      <c r="I692">
        <v>6119</v>
      </c>
      <c r="J692">
        <v>253</v>
      </c>
      <c r="K692">
        <v>12279.64</v>
      </c>
      <c r="L692">
        <v>75402.41</v>
      </c>
      <c r="M692">
        <v>2.94</v>
      </c>
      <c r="N692">
        <v>4.1399999999999997</v>
      </c>
      <c r="O692">
        <v>2.0099999999999998</v>
      </c>
      <c r="P692">
        <v>48.54</v>
      </c>
      <c r="Q692">
        <v>6.14</v>
      </c>
      <c r="R692">
        <v>514.04</v>
      </c>
    </row>
    <row r="693" spans="1:18" x14ac:dyDescent="0.3">
      <c r="A693" t="s">
        <v>1414</v>
      </c>
      <c r="B693" t="s">
        <v>1415</v>
      </c>
      <c r="C693" t="s">
        <v>29</v>
      </c>
      <c r="D693" t="s">
        <v>34</v>
      </c>
      <c r="E693" t="s">
        <v>22</v>
      </c>
      <c r="F693" s="1">
        <v>45470</v>
      </c>
      <c r="G693" s="1">
        <v>45499</v>
      </c>
      <c r="H693">
        <v>65340</v>
      </c>
      <c r="I693">
        <v>1156</v>
      </c>
      <c r="J693">
        <v>72</v>
      </c>
      <c r="K693">
        <v>17127.669999999998</v>
      </c>
      <c r="L693">
        <v>107382.99</v>
      </c>
      <c r="M693">
        <v>1.77</v>
      </c>
      <c r="N693">
        <v>6.23</v>
      </c>
      <c r="O693">
        <v>14.82</v>
      </c>
      <c r="P693">
        <v>237.88</v>
      </c>
      <c r="Q693">
        <v>6.27</v>
      </c>
      <c r="R693">
        <v>526.96</v>
      </c>
    </row>
    <row r="694" spans="1:18" x14ac:dyDescent="0.3">
      <c r="A694" t="s">
        <v>1416</v>
      </c>
      <c r="B694" t="s">
        <v>1417</v>
      </c>
      <c r="C694" t="s">
        <v>29</v>
      </c>
      <c r="D694" t="s">
        <v>34</v>
      </c>
      <c r="E694" t="s">
        <v>31</v>
      </c>
      <c r="F694" s="1">
        <v>45390</v>
      </c>
      <c r="G694" s="1">
        <v>45415</v>
      </c>
      <c r="H694">
        <v>348967</v>
      </c>
      <c r="I694">
        <v>5967</v>
      </c>
      <c r="J694">
        <v>363</v>
      </c>
      <c r="K694">
        <v>14448.66</v>
      </c>
      <c r="L694">
        <v>63281.87</v>
      </c>
      <c r="M694">
        <v>1.71</v>
      </c>
      <c r="N694">
        <v>6.1</v>
      </c>
      <c r="O694">
        <v>2.42</v>
      </c>
      <c r="P694">
        <v>39.799999999999997</v>
      </c>
      <c r="Q694">
        <v>4.38</v>
      </c>
      <c r="R694">
        <v>337.98</v>
      </c>
    </row>
    <row r="695" spans="1:18" x14ac:dyDescent="0.3">
      <c r="A695" t="s">
        <v>1418</v>
      </c>
      <c r="B695" t="s">
        <v>1419</v>
      </c>
      <c r="C695" t="s">
        <v>29</v>
      </c>
      <c r="D695" t="s">
        <v>21</v>
      </c>
      <c r="E695" t="s">
        <v>26</v>
      </c>
      <c r="F695" s="1">
        <v>45386</v>
      </c>
      <c r="G695" s="1">
        <v>45421</v>
      </c>
      <c r="H695">
        <v>162205</v>
      </c>
      <c r="I695">
        <v>6909</v>
      </c>
      <c r="J695">
        <v>432</v>
      </c>
      <c r="K695">
        <v>10120.73</v>
      </c>
      <c r="L695">
        <v>52036.73</v>
      </c>
      <c r="M695">
        <v>4.26</v>
      </c>
      <c r="N695">
        <v>6.26</v>
      </c>
      <c r="O695">
        <v>1.46</v>
      </c>
      <c r="P695">
        <v>23.43</v>
      </c>
      <c r="Q695">
        <v>5.14</v>
      </c>
      <c r="R695">
        <v>414.16</v>
      </c>
    </row>
    <row r="696" spans="1:18" x14ac:dyDescent="0.3">
      <c r="A696" t="s">
        <v>1420</v>
      </c>
      <c r="B696" t="s">
        <v>1421</v>
      </c>
      <c r="C696" t="s">
        <v>20</v>
      </c>
      <c r="D696" t="s">
        <v>34</v>
      </c>
      <c r="E696" t="s">
        <v>22</v>
      </c>
      <c r="F696" s="1">
        <v>45452</v>
      </c>
      <c r="G696" s="1">
        <v>45466</v>
      </c>
      <c r="H696">
        <v>249027</v>
      </c>
      <c r="I696">
        <v>10459</v>
      </c>
      <c r="J696">
        <v>741</v>
      </c>
      <c r="K696">
        <v>13151.56</v>
      </c>
      <c r="L696">
        <v>71364.87</v>
      </c>
      <c r="M696">
        <v>4.2</v>
      </c>
      <c r="N696">
        <v>7.09</v>
      </c>
      <c r="O696">
        <v>1.26</v>
      </c>
      <c r="P696">
        <v>17.75</v>
      </c>
      <c r="Q696">
        <v>5.43</v>
      </c>
      <c r="R696">
        <v>442.63</v>
      </c>
    </row>
    <row r="697" spans="1:18" x14ac:dyDescent="0.3">
      <c r="A697" t="s">
        <v>1422</v>
      </c>
      <c r="B697" t="s">
        <v>1423</v>
      </c>
      <c r="C697" t="s">
        <v>25</v>
      </c>
      <c r="D697" t="s">
        <v>21</v>
      </c>
      <c r="E697" t="s">
        <v>31</v>
      </c>
      <c r="F697" s="1">
        <v>45334</v>
      </c>
      <c r="G697" s="1">
        <v>45361</v>
      </c>
      <c r="H697">
        <v>121257</v>
      </c>
      <c r="I697">
        <v>1988</v>
      </c>
      <c r="J697">
        <v>149</v>
      </c>
      <c r="K697">
        <v>8612.34</v>
      </c>
      <c r="L697">
        <v>45211.47</v>
      </c>
      <c r="M697">
        <v>1.64</v>
      </c>
      <c r="N697">
        <v>7.53</v>
      </c>
      <c r="O697">
        <v>4.33</v>
      </c>
      <c r="P697">
        <v>57.8</v>
      </c>
      <c r="Q697">
        <v>5.25</v>
      </c>
      <c r="R697">
        <v>424.96</v>
      </c>
    </row>
    <row r="698" spans="1:18" x14ac:dyDescent="0.3">
      <c r="A698" t="s">
        <v>1424</v>
      </c>
      <c r="B698" t="s">
        <v>1425</v>
      </c>
      <c r="C698" t="s">
        <v>25</v>
      </c>
      <c r="D698" t="s">
        <v>21</v>
      </c>
      <c r="E698" t="s">
        <v>38</v>
      </c>
      <c r="F698" s="1">
        <v>45407</v>
      </c>
      <c r="G698" s="1">
        <v>45449</v>
      </c>
      <c r="H698">
        <v>198694</v>
      </c>
      <c r="I698">
        <v>3139</v>
      </c>
      <c r="J698">
        <v>318</v>
      </c>
      <c r="K698">
        <v>14992.74</v>
      </c>
      <c r="L698">
        <v>86731.59</v>
      </c>
      <c r="M698">
        <v>1.58</v>
      </c>
      <c r="N698">
        <v>10.15</v>
      </c>
      <c r="O698">
        <v>4.78</v>
      </c>
      <c r="P698">
        <v>47.15</v>
      </c>
      <c r="Q698">
        <v>5.78</v>
      </c>
      <c r="R698">
        <v>478.49</v>
      </c>
    </row>
    <row r="699" spans="1:18" x14ac:dyDescent="0.3">
      <c r="A699" t="s">
        <v>1426</v>
      </c>
      <c r="B699" t="s">
        <v>1427</v>
      </c>
      <c r="C699" t="s">
        <v>25</v>
      </c>
      <c r="D699" t="s">
        <v>57</v>
      </c>
      <c r="E699" t="s">
        <v>38</v>
      </c>
      <c r="F699" s="1">
        <v>45480</v>
      </c>
      <c r="G699" s="1">
        <v>45498</v>
      </c>
      <c r="H699">
        <v>148977</v>
      </c>
      <c r="I699">
        <v>3366</v>
      </c>
      <c r="J699">
        <v>379</v>
      </c>
      <c r="K699">
        <v>16838.98</v>
      </c>
      <c r="L699">
        <v>104837.28</v>
      </c>
      <c r="M699">
        <v>2.2599999999999998</v>
      </c>
      <c r="N699">
        <v>11.26</v>
      </c>
      <c r="O699">
        <v>5</v>
      </c>
      <c r="P699">
        <v>44.43</v>
      </c>
      <c r="Q699">
        <v>6.23</v>
      </c>
      <c r="R699">
        <v>522.59</v>
      </c>
    </row>
    <row r="700" spans="1:18" x14ac:dyDescent="0.3">
      <c r="A700" t="s">
        <v>1428</v>
      </c>
      <c r="B700" t="s">
        <v>1429</v>
      </c>
      <c r="C700" t="s">
        <v>20</v>
      </c>
      <c r="D700" t="s">
        <v>30</v>
      </c>
      <c r="E700" t="s">
        <v>26</v>
      </c>
      <c r="F700" s="1">
        <v>45497</v>
      </c>
      <c r="G700" s="1">
        <v>45541</v>
      </c>
      <c r="H700">
        <v>257811</v>
      </c>
      <c r="I700">
        <v>10956</v>
      </c>
      <c r="J700">
        <v>871</v>
      </c>
      <c r="K700">
        <v>6700.12</v>
      </c>
      <c r="L700">
        <v>17722.849999999999</v>
      </c>
      <c r="M700">
        <v>4.25</v>
      </c>
      <c r="N700">
        <v>7.95</v>
      </c>
      <c r="O700">
        <v>0.61</v>
      </c>
      <c r="P700">
        <v>7.69</v>
      </c>
      <c r="Q700">
        <v>2.65</v>
      </c>
      <c r="R700">
        <v>164.52</v>
      </c>
    </row>
    <row r="701" spans="1:18" x14ac:dyDescent="0.3">
      <c r="A701" t="s">
        <v>1430</v>
      </c>
      <c r="B701" t="s">
        <v>1431</v>
      </c>
      <c r="C701" t="s">
        <v>20</v>
      </c>
      <c r="D701" t="s">
        <v>34</v>
      </c>
      <c r="E701" t="s">
        <v>26</v>
      </c>
      <c r="F701" s="1">
        <v>45354</v>
      </c>
      <c r="G701" s="1">
        <v>45375</v>
      </c>
      <c r="H701">
        <v>240688</v>
      </c>
      <c r="I701">
        <v>15404</v>
      </c>
      <c r="J701">
        <v>928</v>
      </c>
      <c r="K701">
        <v>16899.22</v>
      </c>
      <c r="L701">
        <v>109134.76</v>
      </c>
      <c r="M701">
        <v>6.4</v>
      </c>
      <c r="N701">
        <v>6.03</v>
      </c>
      <c r="O701">
        <v>1.1000000000000001</v>
      </c>
      <c r="P701">
        <v>18.21</v>
      </c>
      <c r="Q701">
        <v>6.46</v>
      </c>
      <c r="R701">
        <v>545.79999999999995</v>
      </c>
    </row>
    <row r="702" spans="1:18" x14ac:dyDescent="0.3">
      <c r="A702" t="s">
        <v>1432</v>
      </c>
      <c r="B702" t="s">
        <v>1433</v>
      </c>
      <c r="C702" t="s">
        <v>25</v>
      </c>
      <c r="D702" t="s">
        <v>30</v>
      </c>
      <c r="E702" t="s">
        <v>22</v>
      </c>
      <c r="F702" s="1">
        <v>45621</v>
      </c>
      <c r="G702" s="1">
        <v>45653</v>
      </c>
      <c r="H702">
        <v>450984</v>
      </c>
      <c r="I702">
        <v>9064</v>
      </c>
      <c r="J702">
        <v>822</v>
      </c>
      <c r="K702">
        <v>8367.56</v>
      </c>
      <c r="L702">
        <v>46462.7</v>
      </c>
      <c r="M702">
        <v>2.0099999999999998</v>
      </c>
      <c r="N702">
        <v>9.07</v>
      </c>
      <c r="O702">
        <v>0.92</v>
      </c>
      <c r="P702">
        <v>10.18</v>
      </c>
      <c r="Q702">
        <v>5.55</v>
      </c>
      <c r="R702">
        <v>455.27</v>
      </c>
    </row>
    <row r="703" spans="1:18" x14ac:dyDescent="0.3">
      <c r="A703" t="s">
        <v>1434</v>
      </c>
      <c r="B703" t="s">
        <v>1435</v>
      </c>
      <c r="C703" t="s">
        <v>44</v>
      </c>
      <c r="D703" t="s">
        <v>30</v>
      </c>
      <c r="E703" t="s">
        <v>31</v>
      </c>
      <c r="F703" s="1">
        <v>45354</v>
      </c>
      <c r="G703" s="1">
        <v>45377</v>
      </c>
      <c r="H703">
        <v>262044</v>
      </c>
      <c r="I703">
        <v>9879</v>
      </c>
      <c r="J703">
        <v>325</v>
      </c>
      <c r="K703">
        <v>4342.18</v>
      </c>
      <c r="L703">
        <v>17567.84</v>
      </c>
      <c r="M703">
        <v>3.77</v>
      </c>
      <c r="N703">
        <v>3.29</v>
      </c>
      <c r="O703">
        <v>0.44</v>
      </c>
      <c r="P703">
        <v>13.36</v>
      </c>
      <c r="Q703">
        <v>4.05</v>
      </c>
      <c r="R703">
        <v>304.58999999999997</v>
      </c>
    </row>
    <row r="704" spans="1:18" x14ac:dyDescent="0.3">
      <c r="A704" t="s">
        <v>1436</v>
      </c>
      <c r="B704" t="s">
        <v>1437</v>
      </c>
      <c r="C704" t="s">
        <v>25</v>
      </c>
      <c r="D704" t="s">
        <v>30</v>
      </c>
      <c r="E704" t="s">
        <v>41</v>
      </c>
      <c r="F704" s="1">
        <v>45547</v>
      </c>
      <c r="G704" s="1">
        <v>45555</v>
      </c>
      <c r="H704">
        <v>379447</v>
      </c>
      <c r="I704">
        <v>9106</v>
      </c>
      <c r="J704">
        <v>474</v>
      </c>
      <c r="K704">
        <v>15804.77</v>
      </c>
      <c r="L704">
        <v>90662.58</v>
      </c>
      <c r="M704">
        <v>2.4</v>
      </c>
      <c r="N704">
        <v>5.21</v>
      </c>
      <c r="O704">
        <v>1.74</v>
      </c>
      <c r="P704">
        <v>33.340000000000003</v>
      </c>
      <c r="Q704">
        <v>5.74</v>
      </c>
      <c r="R704">
        <v>473.64</v>
      </c>
    </row>
    <row r="705" spans="1:18" x14ac:dyDescent="0.3">
      <c r="A705" t="s">
        <v>1438</v>
      </c>
      <c r="B705" t="s">
        <v>1439</v>
      </c>
      <c r="C705" t="s">
        <v>29</v>
      </c>
      <c r="D705" t="s">
        <v>30</v>
      </c>
      <c r="E705" t="s">
        <v>31</v>
      </c>
      <c r="F705" s="1">
        <v>45558</v>
      </c>
      <c r="G705" s="1">
        <v>45596</v>
      </c>
      <c r="H705">
        <v>406098</v>
      </c>
      <c r="I705">
        <v>10071</v>
      </c>
      <c r="J705">
        <v>353</v>
      </c>
      <c r="K705">
        <v>12348.49</v>
      </c>
      <c r="L705">
        <v>66938.34</v>
      </c>
      <c r="M705">
        <v>2.48</v>
      </c>
      <c r="N705">
        <v>3.51</v>
      </c>
      <c r="O705">
        <v>1.23</v>
      </c>
      <c r="P705">
        <v>34.979999999999997</v>
      </c>
      <c r="Q705">
        <v>5.42</v>
      </c>
      <c r="R705">
        <v>442.08</v>
      </c>
    </row>
    <row r="706" spans="1:18" x14ac:dyDescent="0.3">
      <c r="A706" t="s">
        <v>1440</v>
      </c>
      <c r="B706" t="s">
        <v>1441</v>
      </c>
      <c r="C706" t="s">
        <v>25</v>
      </c>
      <c r="D706" t="s">
        <v>34</v>
      </c>
      <c r="E706" t="s">
        <v>22</v>
      </c>
      <c r="F706" s="1">
        <v>45568</v>
      </c>
      <c r="G706" s="1">
        <v>45609</v>
      </c>
      <c r="H706">
        <v>397127</v>
      </c>
      <c r="I706">
        <v>6552</v>
      </c>
      <c r="J706">
        <v>558</v>
      </c>
      <c r="K706">
        <v>12679.01</v>
      </c>
      <c r="L706">
        <v>71543.429999999993</v>
      </c>
      <c r="M706">
        <v>1.65</v>
      </c>
      <c r="N706">
        <v>8.5299999999999994</v>
      </c>
      <c r="O706">
        <v>1.94</v>
      </c>
      <c r="P706">
        <v>22.72</v>
      </c>
      <c r="Q706">
        <v>5.64</v>
      </c>
      <c r="R706">
        <v>464.27</v>
      </c>
    </row>
    <row r="707" spans="1:18" x14ac:dyDescent="0.3">
      <c r="A707" t="s">
        <v>1442</v>
      </c>
      <c r="B707" t="s">
        <v>1443</v>
      </c>
      <c r="C707" t="s">
        <v>20</v>
      </c>
      <c r="D707" t="s">
        <v>21</v>
      </c>
      <c r="E707" t="s">
        <v>38</v>
      </c>
      <c r="F707" s="1">
        <v>45308</v>
      </c>
      <c r="G707" s="1">
        <v>45326</v>
      </c>
      <c r="H707">
        <v>112460</v>
      </c>
      <c r="I707">
        <v>4532</v>
      </c>
      <c r="J707">
        <v>266</v>
      </c>
      <c r="K707">
        <v>12526.73</v>
      </c>
      <c r="L707">
        <v>50964.41</v>
      </c>
      <c r="M707">
        <v>4.03</v>
      </c>
      <c r="N707">
        <v>5.89</v>
      </c>
      <c r="O707">
        <v>2.76</v>
      </c>
      <c r="P707">
        <v>47.09</v>
      </c>
      <c r="Q707">
        <v>4.07</v>
      </c>
      <c r="R707">
        <v>306.85000000000002</v>
      </c>
    </row>
    <row r="708" spans="1:18" x14ac:dyDescent="0.3">
      <c r="A708" t="s">
        <v>1444</v>
      </c>
      <c r="B708" t="s">
        <v>1445</v>
      </c>
      <c r="C708" t="s">
        <v>37</v>
      </c>
      <c r="D708" t="s">
        <v>57</v>
      </c>
      <c r="E708" t="s">
        <v>41</v>
      </c>
      <c r="F708" s="1">
        <v>45583</v>
      </c>
      <c r="G708" s="1">
        <v>45621</v>
      </c>
      <c r="H708">
        <v>307676</v>
      </c>
      <c r="I708">
        <v>20245</v>
      </c>
      <c r="J708">
        <v>2251</v>
      </c>
      <c r="K708">
        <v>2250.86</v>
      </c>
      <c r="L708">
        <v>12240.29</v>
      </c>
      <c r="M708">
        <v>6.58</v>
      </c>
      <c r="N708">
        <v>11.12</v>
      </c>
      <c r="O708">
        <v>0.11</v>
      </c>
      <c r="P708">
        <v>1</v>
      </c>
      <c r="Q708">
        <v>5.44</v>
      </c>
      <c r="R708">
        <v>443.81</v>
      </c>
    </row>
    <row r="709" spans="1:18" x14ac:dyDescent="0.3">
      <c r="A709" t="s">
        <v>1446</v>
      </c>
      <c r="B709" t="s">
        <v>1447</v>
      </c>
      <c r="C709" t="s">
        <v>37</v>
      </c>
      <c r="D709" t="s">
        <v>30</v>
      </c>
      <c r="E709" t="s">
        <v>38</v>
      </c>
      <c r="F709" s="1">
        <v>45485</v>
      </c>
      <c r="G709" s="1">
        <v>45514</v>
      </c>
      <c r="H709">
        <v>344783</v>
      </c>
      <c r="I709">
        <v>31478</v>
      </c>
      <c r="J709">
        <v>4114</v>
      </c>
      <c r="K709">
        <v>2261.23</v>
      </c>
      <c r="L709">
        <v>9556.2099999999991</v>
      </c>
      <c r="M709">
        <v>9.1300000000000008</v>
      </c>
      <c r="N709">
        <v>13.07</v>
      </c>
      <c r="O709">
        <v>7.0000000000000007E-2</v>
      </c>
      <c r="P709">
        <v>0.55000000000000004</v>
      </c>
      <c r="Q709">
        <v>4.2300000000000004</v>
      </c>
      <c r="R709">
        <v>322.61</v>
      </c>
    </row>
    <row r="710" spans="1:18" x14ac:dyDescent="0.3">
      <c r="A710" t="s">
        <v>1448</v>
      </c>
      <c r="B710" t="s">
        <v>1449</v>
      </c>
      <c r="C710" t="s">
        <v>44</v>
      </c>
      <c r="D710" t="s">
        <v>57</v>
      </c>
      <c r="E710" t="s">
        <v>26</v>
      </c>
      <c r="F710" s="1">
        <v>45590</v>
      </c>
      <c r="G710" s="1">
        <v>45598</v>
      </c>
      <c r="H710">
        <v>64757</v>
      </c>
      <c r="I710">
        <v>1774</v>
      </c>
      <c r="J710">
        <v>34</v>
      </c>
      <c r="K710">
        <v>7080.13</v>
      </c>
      <c r="L710">
        <v>39953.11</v>
      </c>
      <c r="M710">
        <v>2.74</v>
      </c>
      <c r="N710">
        <v>1.95</v>
      </c>
      <c r="O710">
        <v>3.99</v>
      </c>
      <c r="P710">
        <v>208.24</v>
      </c>
      <c r="Q710">
        <v>5.64</v>
      </c>
      <c r="R710">
        <v>464.3</v>
      </c>
    </row>
    <row r="711" spans="1:18" x14ac:dyDescent="0.3">
      <c r="A711" t="s">
        <v>1450</v>
      </c>
      <c r="B711" t="s">
        <v>1451</v>
      </c>
      <c r="C711" t="s">
        <v>44</v>
      </c>
      <c r="D711" t="s">
        <v>30</v>
      </c>
      <c r="E711" t="s">
        <v>26</v>
      </c>
      <c r="F711" s="1">
        <v>45418</v>
      </c>
      <c r="G711" s="1">
        <v>45440</v>
      </c>
      <c r="H711">
        <v>274472</v>
      </c>
      <c r="I711">
        <v>5763</v>
      </c>
      <c r="J711">
        <v>158</v>
      </c>
      <c r="K711">
        <v>6890.87</v>
      </c>
      <c r="L711">
        <v>34286.080000000002</v>
      </c>
      <c r="M711">
        <v>2.1</v>
      </c>
      <c r="N711">
        <v>2.75</v>
      </c>
      <c r="O711">
        <v>1.2</v>
      </c>
      <c r="P711">
        <v>43.61</v>
      </c>
      <c r="Q711">
        <v>4.9800000000000004</v>
      </c>
      <c r="R711">
        <v>397.56</v>
      </c>
    </row>
    <row r="712" spans="1:18" x14ac:dyDescent="0.3">
      <c r="A712" t="s">
        <v>1452</v>
      </c>
      <c r="B712" t="s">
        <v>1453</v>
      </c>
      <c r="C712" t="s">
        <v>44</v>
      </c>
      <c r="D712" t="s">
        <v>21</v>
      </c>
      <c r="E712" t="s">
        <v>26</v>
      </c>
      <c r="F712" s="1">
        <v>45508</v>
      </c>
      <c r="G712" s="1">
        <v>45551</v>
      </c>
      <c r="H712">
        <v>209861</v>
      </c>
      <c r="I712">
        <v>3147</v>
      </c>
      <c r="J712">
        <v>65</v>
      </c>
      <c r="K712">
        <v>9230.2099999999991</v>
      </c>
      <c r="L712">
        <v>20012.93</v>
      </c>
      <c r="M712">
        <v>1.5</v>
      </c>
      <c r="N712">
        <v>2.09</v>
      </c>
      <c r="O712">
        <v>2.93</v>
      </c>
      <c r="P712">
        <v>142</v>
      </c>
      <c r="Q712">
        <v>2.17</v>
      </c>
      <c r="R712">
        <v>116.82</v>
      </c>
    </row>
    <row r="713" spans="1:18" x14ac:dyDescent="0.3">
      <c r="A713" t="s">
        <v>1454</v>
      </c>
      <c r="B713" t="s">
        <v>1455</v>
      </c>
      <c r="C713" t="s">
        <v>37</v>
      </c>
      <c r="D713" t="s">
        <v>30</v>
      </c>
      <c r="E713" t="s">
        <v>22</v>
      </c>
      <c r="F713" s="1">
        <v>45491</v>
      </c>
      <c r="G713" s="1">
        <v>45518</v>
      </c>
      <c r="H713">
        <v>60696</v>
      </c>
      <c r="I713">
        <v>4964</v>
      </c>
      <c r="J713">
        <v>689</v>
      </c>
      <c r="K713">
        <v>4935.9399999999996</v>
      </c>
      <c r="L713">
        <v>18262.09</v>
      </c>
      <c r="M713">
        <v>8.18</v>
      </c>
      <c r="N713">
        <v>13.88</v>
      </c>
      <c r="O713">
        <v>0.99</v>
      </c>
      <c r="P713">
        <v>7.16</v>
      </c>
      <c r="Q713">
        <v>3.7</v>
      </c>
      <c r="R713">
        <v>269.98</v>
      </c>
    </row>
    <row r="714" spans="1:18" x14ac:dyDescent="0.3">
      <c r="A714" t="s">
        <v>1456</v>
      </c>
      <c r="B714" t="s">
        <v>1457</v>
      </c>
      <c r="C714" t="s">
        <v>37</v>
      </c>
      <c r="D714" t="s">
        <v>21</v>
      </c>
      <c r="E714" t="s">
        <v>38</v>
      </c>
      <c r="F714" s="1">
        <v>45465</v>
      </c>
      <c r="G714" s="1">
        <v>45482</v>
      </c>
      <c r="H714">
        <v>102458</v>
      </c>
      <c r="I714">
        <v>8350</v>
      </c>
      <c r="J714">
        <v>840</v>
      </c>
      <c r="K714">
        <v>2735.29</v>
      </c>
      <c r="L714">
        <v>15458.65</v>
      </c>
      <c r="M714">
        <v>8.15</v>
      </c>
      <c r="N714">
        <v>10.06</v>
      </c>
      <c r="O714">
        <v>0.33</v>
      </c>
      <c r="P714">
        <v>3.26</v>
      </c>
      <c r="Q714">
        <v>5.65</v>
      </c>
      <c r="R714">
        <v>465.16</v>
      </c>
    </row>
    <row r="715" spans="1:18" x14ac:dyDescent="0.3">
      <c r="A715" t="s">
        <v>1458</v>
      </c>
      <c r="B715" t="s">
        <v>1459</v>
      </c>
      <c r="C715" t="s">
        <v>37</v>
      </c>
      <c r="D715" t="s">
        <v>57</v>
      </c>
      <c r="E715" t="s">
        <v>22</v>
      </c>
      <c r="F715" s="1">
        <v>45566</v>
      </c>
      <c r="G715" s="1">
        <v>45586</v>
      </c>
      <c r="H715">
        <v>278584</v>
      </c>
      <c r="I715">
        <v>14514</v>
      </c>
      <c r="J715">
        <v>2082</v>
      </c>
      <c r="K715">
        <v>4883.4799999999996</v>
      </c>
      <c r="L715">
        <v>11422.19</v>
      </c>
      <c r="M715">
        <v>5.21</v>
      </c>
      <c r="N715">
        <v>14.35</v>
      </c>
      <c r="O715">
        <v>0.34</v>
      </c>
      <c r="P715">
        <v>2.35</v>
      </c>
      <c r="Q715">
        <v>2.34</v>
      </c>
      <c r="R715">
        <v>133.88999999999999</v>
      </c>
    </row>
    <row r="716" spans="1:18" x14ac:dyDescent="0.3">
      <c r="A716" t="s">
        <v>1460</v>
      </c>
      <c r="B716" t="s">
        <v>1461</v>
      </c>
      <c r="C716" t="s">
        <v>44</v>
      </c>
      <c r="D716" t="s">
        <v>57</v>
      </c>
      <c r="E716" t="s">
        <v>26</v>
      </c>
      <c r="F716" s="1">
        <v>45339</v>
      </c>
      <c r="G716" s="1">
        <v>45383</v>
      </c>
      <c r="H716">
        <v>205881</v>
      </c>
      <c r="I716">
        <v>7802</v>
      </c>
      <c r="J716">
        <v>227</v>
      </c>
      <c r="K716">
        <v>5323.57</v>
      </c>
      <c r="L716">
        <v>28443.81</v>
      </c>
      <c r="M716">
        <v>3.79</v>
      </c>
      <c r="N716">
        <v>2.91</v>
      </c>
      <c r="O716">
        <v>0.68</v>
      </c>
      <c r="P716">
        <v>23.45</v>
      </c>
      <c r="Q716">
        <v>5.34</v>
      </c>
      <c r="R716">
        <v>434.3</v>
      </c>
    </row>
    <row r="717" spans="1:18" x14ac:dyDescent="0.3">
      <c r="A717" t="s">
        <v>1462</v>
      </c>
      <c r="B717" t="s">
        <v>1463</v>
      </c>
      <c r="C717" t="s">
        <v>20</v>
      </c>
      <c r="D717" t="s">
        <v>57</v>
      </c>
      <c r="E717" t="s">
        <v>22</v>
      </c>
      <c r="F717" s="1">
        <v>45331</v>
      </c>
      <c r="G717" s="1">
        <v>45357</v>
      </c>
      <c r="H717">
        <v>85268</v>
      </c>
      <c r="I717">
        <v>4067</v>
      </c>
      <c r="J717">
        <v>292</v>
      </c>
      <c r="K717">
        <v>13542.12</v>
      </c>
      <c r="L717">
        <v>48249.55</v>
      </c>
      <c r="M717">
        <v>4.7699999999999996</v>
      </c>
      <c r="N717">
        <v>7.19</v>
      </c>
      <c r="O717">
        <v>3.33</v>
      </c>
      <c r="P717">
        <v>46.38</v>
      </c>
      <c r="Q717">
        <v>3.56</v>
      </c>
      <c r="R717">
        <v>256.29000000000002</v>
      </c>
    </row>
    <row r="718" spans="1:18" x14ac:dyDescent="0.3">
      <c r="A718" t="s">
        <v>1464</v>
      </c>
      <c r="B718" t="s">
        <v>1465</v>
      </c>
      <c r="C718" t="s">
        <v>37</v>
      </c>
      <c r="D718" t="s">
        <v>57</v>
      </c>
      <c r="E718" t="s">
        <v>38</v>
      </c>
      <c r="F718" s="1">
        <v>45524</v>
      </c>
      <c r="G718" s="1">
        <v>45566</v>
      </c>
      <c r="H718">
        <v>397842</v>
      </c>
      <c r="I718">
        <v>28803</v>
      </c>
      <c r="J718">
        <v>2880</v>
      </c>
      <c r="K718">
        <v>2310.35</v>
      </c>
      <c r="L718">
        <v>11118.18</v>
      </c>
      <c r="M718">
        <v>7.24</v>
      </c>
      <c r="N718">
        <v>10</v>
      </c>
      <c r="O718">
        <v>0.08</v>
      </c>
      <c r="P718">
        <v>0.8</v>
      </c>
      <c r="Q718">
        <v>4.8099999999999996</v>
      </c>
      <c r="R718">
        <v>381.23</v>
      </c>
    </row>
    <row r="719" spans="1:18" x14ac:dyDescent="0.3">
      <c r="A719" t="s">
        <v>1466</v>
      </c>
      <c r="B719" t="s">
        <v>1467</v>
      </c>
      <c r="C719" t="s">
        <v>29</v>
      </c>
      <c r="D719" t="s">
        <v>21</v>
      </c>
      <c r="E719" t="s">
        <v>31</v>
      </c>
      <c r="F719" s="1">
        <v>45531</v>
      </c>
      <c r="G719" s="1">
        <v>45555</v>
      </c>
      <c r="H719">
        <v>147800</v>
      </c>
      <c r="I719">
        <v>4773</v>
      </c>
      <c r="J719">
        <v>146</v>
      </c>
      <c r="K719">
        <v>17431.759999999998</v>
      </c>
      <c r="L719">
        <v>93084.479999999996</v>
      </c>
      <c r="M719">
        <v>3.23</v>
      </c>
      <c r="N719">
        <v>3.06</v>
      </c>
      <c r="O719">
        <v>3.65</v>
      </c>
      <c r="P719">
        <v>119.4</v>
      </c>
      <c r="Q719">
        <v>5.34</v>
      </c>
      <c r="R719">
        <v>433.99</v>
      </c>
    </row>
    <row r="720" spans="1:18" x14ac:dyDescent="0.3">
      <c r="A720" t="s">
        <v>1468</v>
      </c>
      <c r="B720" t="s">
        <v>1469</v>
      </c>
      <c r="C720" t="s">
        <v>37</v>
      </c>
      <c r="D720" t="s">
        <v>30</v>
      </c>
      <c r="E720" t="s">
        <v>31</v>
      </c>
      <c r="F720" s="1">
        <v>45369</v>
      </c>
      <c r="G720" s="1">
        <v>45395</v>
      </c>
      <c r="H720">
        <v>430955</v>
      </c>
      <c r="I720">
        <v>33442</v>
      </c>
      <c r="J720">
        <v>4421</v>
      </c>
      <c r="K720">
        <v>2139.2399999999998</v>
      </c>
      <c r="L720">
        <v>5700.75</v>
      </c>
      <c r="M720">
        <v>7.76</v>
      </c>
      <c r="N720">
        <v>13.22</v>
      </c>
      <c r="O720">
        <v>0.06</v>
      </c>
      <c r="P720">
        <v>0.48</v>
      </c>
      <c r="Q720">
        <v>2.66</v>
      </c>
      <c r="R720">
        <v>166.48</v>
      </c>
    </row>
    <row r="721" spans="1:18" x14ac:dyDescent="0.3">
      <c r="A721" t="s">
        <v>1470</v>
      </c>
      <c r="B721" t="s">
        <v>1471</v>
      </c>
      <c r="C721" t="s">
        <v>25</v>
      </c>
      <c r="D721" t="s">
        <v>30</v>
      </c>
      <c r="E721" t="s">
        <v>22</v>
      </c>
      <c r="F721" s="1">
        <v>45438</v>
      </c>
      <c r="G721" s="1">
        <v>45455</v>
      </c>
      <c r="H721">
        <v>485271</v>
      </c>
      <c r="I721">
        <v>11403</v>
      </c>
      <c r="J721">
        <v>1076</v>
      </c>
      <c r="K721">
        <v>17535.47</v>
      </c>
      <c r="L721">
        <v>56134.66</v>
      </c>
      <c r="M721">
        <v>2.35</v>
      </c>
      <c r="N721">
        <v>9.44</v>
      </c>
      <c r="O721">
        <v>1.54</v>
      </c>
      <c r="P721">
        <v>16.3</v>
      </c>
      <c r="Q721">
        <v>3.2</v>
      </c>
      <c r="R721">
        <v>220.12</v>
      </c>
    </row>
    <row r="722" spans="1:18" x14ac:dyDescent="0.3">
      <c r="A722" t="s">
        <v>1472</v>
      </c>
      <c r="B722" t="s">
        <v>1473</v>
      </c>
      <c r="C722" t="s">
        <v>44</v>
      </c>
      <c r="D722" t="s">
        <v>34</v>
      </c>
      <c r="E722" t="s">
        <v>38</v>
      </c>
      <c r="F722" s="1">
        <v>45529</v>
      </c>
      <c r="G722" s="1">
        <v>45567</v>
      </c>
      <c r="H722">
        <v>175033</v>
      </c>
      <c r="I722">
        <v>2625</v>
      </c>
      <c r="J722">
        <v>56</v>
      </c>
      <c r="K722">
        <v>5569.83</v>
      </c>
      <c r="L722">
        <v>31873.52</v>
      </c>
      <c r="M722">
        <v>1.5</v>
      </c>
      <c r="N722">
        <v>2.17</v>
      </c>
      <c r="O722">
        <v>2.12</v>
      </c>
      <c r="P722">
        <v>99.46</v>
      </c>
      <c r="Q722">
        <v>5.72</v>
      </c>
      <c r="R722">
        <v>472.25</v>
      </c>
    </row>
    <row r="723" spans="1:18" x14ac:dyDescent="0.3">
      <c r="A723" t="s">
        <v>1474</v>
      </c>
      <c r="B723" t="s">
        <v>1475</v>
      </c>
      <c r="C723" t="s">
        <v>37</v>
      </c>
      <c r="D723" t="s">
        <v>30</v>
      </c>
      <c r="E723" t="s">
        <v>38</v>
      </c>
      <c r="F723" s="1">
        <v>45434</v>
      </c>
      <c r="G723" s="1">
        <v>45476</v>
      </c>
      <c r="H723">
        <v>389173</v>
      </c>
      <c r="I723">
        <v>36699</v>
      </c>
      <c r="J723">
        <v>3677</v>
      </c>
      <c r="K723">
        <v>1727.2</v>
      </c>
      <c r="L723">
        <v>3680.9</v>
      </c>
      <c r="M723">
        <v>9.43</v>
      </c>
      <c r="N723">
        <v>10.02</v>
      </c>
      <c r="O723">
        <v>0.05</v>
      </c>
      <c r="P723">
        <v>0.47</v>
      </c>
      <c r="Q723">
        <v>2.13</v>
      </c>
      <c r="R723">
        <v>113.11</v>
      </c>
    </row>
    <row r="724" spans="1:18" x14ac:dyDescent="0.3">
      <c r="A724" t="s">
        <v>1476</v>
      </c>
      <c r="B724" t="s">
        <v>1477</v>
      </c>
      <c r="C724" t="s">
        <v>29</v>
      </c>
      <c r="D724" t="s">
        <v>21</v>
      </c>
      <c r="E724" t="s">
        <v>38</v>
      </c>
      <c r="F724" s="1">
        <v>45324</v>
      </c>
      <c r="G724" s="1">
        <v>45357</v>
      </c>
      <c r="H724">
        <v>460115</v>
      </c>
      <c r="I724">
        <v>7177</v>
      </c>
      <c r="J724">
        <v>452</v>
      </c>
      <c r="K724">
        <v>4258.9399999999996</v>
      </c>
      <c r="L724">
        <v>20047.68</v>
      </c>
      <c r="M724">
        <v>1.56</v>
      </c>
      <c r="N724">
        <v>6.3</v>
      </c>
      <c r="O724">
        <v>0.59</v>
      </c>
      <c r="P724">
        <v>9.42</v>
      </c>
      <c r="Q724">
        <v>4.71</v>
      </c>
      <c r="R724">
        <v>370.72</v>
      </c>
    </row>
    <row r="725" spans="1:18" x14ac:dyDescent="0.3">
      <c r="A725" t="s">
        <v>1478</v>
      </c>
      <c r="B725" t="s">
        <v>1479</v>
      </c>
      <c r="C725" t="s">
        <v>44</v>
      </c>
      <c r="D725" t="s">
        <v>21</v>
      </c>
      <c r="E725" t="s">
        <v>38</v>
      </c>
      <c r="F725" s="1">
        <v>45353</v>
      </c>
      <c r="G725" s="1">
        <v>45393</v>
      </c>
      <c r="H725">
        <v>490302</v>
      </c>
      <c r="I725">
        <v>15101</v>
      </c>
      <c r="J725">
        <v>300</v>
      </c>
      <c r="K725">
        <v>3899.15</v>
      </c>
      <c r="L725">
        <v>20685.62</v>
      </c>
      <c r="M725">
        <v>3.08</v>
      </c>
      <c r="N725">
        <v>1.99</v>
      </c>
      <c r="O725">
        <v>0.26</v>
      </c>
      <c r="P725">
        <v>13</v>
      </c>
      <c r="Q725">
        <v>5.31</v>
      </c>
      <c r="R725">
        <v>430.52</v>
      </c>
    </row>
    <row r="726" spans="1:18" x14ac:dyDescent="0.3">
      <c r="A726" t="s">
        <v>1480</v>
      </c>
      <c r="B726" t="s">
        <v>1481</v>
      </c>
      <c r="C726" t="s">
        <v>37</v>
      </c>
      <c r="D726" t="s">
        <v>57</v>
      </c>
      <c r="E726" t="s">
        <v>38</v>
      </c>
      <c r="F726" s="1">
        <v>45591</v>
      </c>
      <c r="G726" s="1">
        <v>45622</v>
      </c>
      <c r="H726">
        <v>97316</v>
      </c>
      <c r="I726">
        <v>5284</v>
      </c>
      <c r="J726">
        <v>487</v>
      </c>
      <c r="K726">
        <v>4130.09</v>
      </c>
      <c r="L726">
        <v>14380.09</v>
      </c>
      <c r="M726">
        <v>5.43</v>
      </c>
      <c r="N726">
        <v>9.2200000000000006</v>
      </c>
      <c r="O726">
        <v>0.78</v>
      </c>
      <c r="P726">
        <v>8.48</v>
      </c>
      <c r="Q726">
        <v>3.48</v>
      </c>
      <c r="R726">
        <v>248.18</v>
      </c>
    </row>
    <row r="727" spans="1:18" x14ac:dyDescent="0.3">
      <c r="A727" t="s">
        <v>1482</v>
      </c>
      <c r="B727" t="s">
        <v>1483</v>
      </c>
      <c r="C727" t="s">
        <v>29</v>
      </c>
      <c r="D727" t="s">
        <v>30</v>
      </c>
      <c r="E727" t="s">
        <v>41</v>
      </c>
      <c r="F727" s="1">
        <v>45593</v>
      </c>
      <c r="G727" s="1">
        <v>45603</v>
      </c>
      <c r="H727">
        <v>125643</v>
      </c>
      <c r="I727">
        <v>2286</v>
      </c>
      <c r="J727">
        <v>70</v>
      </c>
      <c r="K727">
        <v>7118.21</v>
      </c>
      <c r="L727">
        <v>27317.48</v>
      </c>
      <c r="M727">
        <v>1.82</v>
      </c>
      <c r="N727">
        <v>3.07</v>
      </c>
      <c r="O727">
        <v>3.11</v>
      </c>
      <c r="P727">
        <v>101.69</v>
      </c>
      <c r="Q727">
        <v>3.84</v>
      </c>
      <c r="R727">
        <v>283.77</v>
      </c>
    </row>
    <row r="728" spans="1:18" x14ac:dyDescent="0.3">
      <c r="A728" t="s">
        <v>1484</v>
      </c>
      <c r="B728" t="s">
        <v>1485</v>
      </c>
      <c r="C728" t="s">
        <v>25</v>
      </c>
      <c r="D728" t="s">
        <v>57</v>
      </c>
      <c r="E728" t="s">
        <v>26</v>
      </c>
      <c r="F728" s="1">
        <v>45366</v>
      </c>
      <c r="G728" s="1">
        <v>45396</v>
      </c>
      <c r="H728">
        <v>215931</v>
      </c>
      <c r="I728">
        <v>3735</v>
      </c>
      <c r="J728">
        <v>310</v>
      </c>
      <c r="K728">
        <v>7941.55</v>
      </c>
      <c r="L728">
        <v>25808.46</v>
      </c>
      <c r="M728">
        <v>1.73</v>
      </c>
      <c r="N728">
        <v>8.32</v>
      </c>
      <c r="O728">
        <v>2.13</v>
      </c>
      <c r="P728">
        <v>25.62</v>
      </c>
      <c r="Q728">
        <v>3.25</v>
      </c>
      <c r="R728">
        <v>224.98</v>
      </c>
    </row>
    <row r="729" spans="1:18" x14ac:dyDescent="0.3">
      <c r="A729" t="s">
        <v>1486</v>
      </c>
      <c r="B729" t="s">
        <v>1487</v>
      </c>
      <c r="C729" t="s">
        <v>25</v>
      </c>
      <c r="D729" t="s">
        <v>57</v>
      </c>
      <c r="E729" t="s">
        <v>22</v>
      </c>
      <c r="F729" s="1">
        <v>45319</v>
      </c>
      <c r="G729" s="1">
        <v>45341</v>
      </c>
      <c r="H729">
        <v>61048</v>
      </c>
      <c r="I729">
        <v>1159</v>
      </c>
      <c r="J729">
        <v>131</v>
      </c>
      <c r="K729">
        <v>4556.95</v>
      </c>
      <c r="L729">
        <v>24277.26</v>
      </c>
      <c r="M729">
        <v>1.9</v>
      </c>
      <c r="N729">
        <v>11.34</v>
      </c>
      <c r="O729">
        <v>3.93</v>
      </c>
      <c r="P729">
        <v>34.79</v>
      </c>
      <c r="Q729">
        <v>5.33</v>
      </c>
      <c r="R729">
        <v>432.75</v>
      </c>
    </row>
    <row r="730" spans="1:18" x14ac:dyDescent="0.3">
      <c r="A730" t="s">
        <v>1488</v>
      </c>
      <c r="B730" t="s">
        <v>1489</v>
      </c>
      <c r="C730" t="s">
        <v>44</v>
      </c>
      <c r="D730" t="s">
        <v>30</v>
      </c>
      <c r="E730" t="s">
        <v>22</v>
      </c>
      <c r="F730" s="1">
        <v>45413</v>
      </c>
      <c r="G730" s="1">
        <v>45448</v>
      </c>
      <c r="H730">
        <v>384993</v>
      </c>
      <c r="I730">
        <v>14206</v>
      </c>
      <c r="J730">
        <v>393</v>
      </c>
      <c r="K730">
        <v>12653.13</v>
      </c>
      <c r="L730">
        <v>32255.89</v>
      </c>
      <c r="M730">
        <v>3.69</v>
      </c>
      <c r="N730">
        <v>2.77</v>
      </c>
      <c r="O730">
        <v>0.89</v>
      </c>
      <c r="P730">
        <v>32.200000000000003</v>
      </c>
      <c r="Q730">
        <v>2.5499999999999998</v>
      </c>
      <c r="R730">
        <v>154.91999999999999</v>
      </c>
    </row>
    <row r="731" spans="1:18" x14ac:dyDescent="0.3">
      <c r="A731" t="s">
        <v>1490</v>
      </c>
      <c r="B731" t="s">
        <v>1491</v>
      </c>
      <c r="C731" t="s">
        <v>25</v>
      </c>
      <c r="D731" t="s">
        <v>21</v>
      </c>
      <c r="E731" t="s">
        <v>38</v>
      </c>
      <c r="F731" s="1">
        <v>45374</v>
      </c>
      <c r="G731" s="1">
        <v>45409</v>
      </c>
      <c r="H731">
        <v>183973</v>
      </c>
      <c r="I731">
        <v>2410</v>
      </c>
      <c r="J731">
        <v>278</v>
      </c>
      <c r="K731">
        <v>16106.69</v>
      </c>
      <c r="L731">
        <v>53770.62</v>
      </c>
      <c r="M731">
        <v>1.31</v>
      </c>
      <c r="N731">
        <v>11.55</v>
      </c>
      <c r="O731">
        <v>6.68</v>
      </c>
      <c r="P731">
        <v>57.94</v>
      </c>
      <c r="Q731">
        <v>3.34</v>
      </c>
      <c r="R731">
        <v>233.84</v>
      </c>
    </row>
    <row r="732" spans="1:18" x14ac:dyDescent="0.3">
      <c r="A732" t="s">
        <v>1492</v>
      </c>
      <c r="B732" t="s">
        <v>1493</v>
      </c>
      <c r="C732" t="s">
        <v>44</v>
      </c>
      <c r="D732" t="s">
        <v>30</v>
      </c>
      <c r="E732" t="s">
        <v>26</v>
      </c>
      <c r="F732" s="1">
        <v>45503</v>
      </c>
      <c r="G732" s="1">
        <v>45531</v>
      </c>
      <c r="H732">
        <v>193674</v>
      </c>
      <c r="I732">
        <v>6681</v>
      </c>
      <c r="J732">
        <v>292</v>
      </c>
      <c r="K732">
        <v>14256.19</v>
      </c>
      <c r="L732">
        <v>58734.23</v>
      </c>
      <c r="M732">
        <v>3.45</v>
      </c>
      <c r="N732">
        <v>4.38</v>
      </c>
      <c r="O732">
        <v>2.13</v>
      </c>
      <c r="P732">
        <v>48.82</v>
      </c>
      <c r="Q732">
        <v>4.12</v>
      </c>
      <c r="R732">
        <v>311.99</v>
      </c>
    </row>
    <row r="733" spans="1:18" x14ac:dyDescent="0.3">
      <c r="A733" t="s">
        <v>1494</v>
      </c>
      <c r="B733" t="s">
        <v>1495</v>
      </c>
      <c r="C733" t="s">
        <v>25</v>
      </c>
      <c r="D733" t="s">
        <v>21</v>
      </c>
      <c r="E733" t="s">
        <v>41</v>
      </c>
      <c r="F733" s="1">
        <v>45572</v>
      </c>
      <c r="G733" s="1">
        <v>45599</v>
      </c>
      <c r="H733">
        <v>416205</v>
      </c>
      <c r="I733">
        <v>5160</v>
      </c>
      <c r="J733">
        <v>281</v>
      </c>
      <c r="K733">
        <v>10733.93</v>
      </c>
      <c r="L733">
        <v>56691.7</v>
      </c>
      <c r="M733">
        <v>1.24</v>
      </c>
      <c r="N733">
        <v>5.46</v>
      </c>
      <c r="O733">
        <v>2.08</v>
      </c>
      <c r="P733">
        <v>38.200000000000003</v>
      </c>
      <c r="Q733">
        <v>5.28</v>
      </c>
      <c r="R733">
        <v>428.15</v>
      </c>
    </row>
    <row r="734" spans="1:18" x14ac:dyDescent="0.3">
      <c r="A734" t="s">
        <v>1496</v>
      </c>
      <c r="B734" t="s">
        <v>1497</v>
      </c>
      <c r="C734" t="s">
        <v>25</v>
      </c>
      <c r="D734" t="s">
        <v>21</v>
      </c>
      <c r="E734" t="s">
        <v>26</v>
      </c>
      <c r="F734" s="1">
        <v>45497</v>
      </c>
      <c r="G734" s="1">
        <v>45516</v>
      </c>
      <c r="H734">
        <v>386264</v>
      </c>
      <c r="I734">
        <v>7300</v>
      </c>
      <c r="J734">
        <v>686</v>
      </c>
      <c r="K734">
        <v>16656.310000000001</v>
      </c>
      <c r="L734">
        <v>43513.19</v>
      </c>
      <c r="M734">
        <v>1.89</v>
      </c>
      <c r="N734">
        <v>9.41</v>
      </c>
      <c r="O734">
        <v>2.2799999999999998</v>
      </c>
      <c r="P734">
        <v>24.28</v>
      </c>
      <c r="Q734">
        <v>2.61</v>
      </c>
      <c r="R734">
        <v>161.24</v>
      </c>
    </row>
    <row r="735" spans="1:18" x14ac:dyDescent="0.3">
      <c r="A735" t="s">
        <v>1498</v>
      </c>
      <c r="B735" t="s">
        <v>1499</v>
      </c>
      <c r="C735" t="s">
        <v>44</v>
      </c>
      <c r="D735" t="s">
        <v>57</v>
      </c>
      <c r="E735" t="s">
        <v>31</v>
      </c>
      <c r="F735" s="1">
        <v>45358</v>
      </c>
      <c r="G735" s="1">
        <v>45403</v>
      </c>
      <c r="H735">
        <v>93113</v>
      </c>
      <c r="I735">
        <v>1387</v>
      </c>
      <c r="J735">
        <v>32</v>
      </c>
      <c r="K735">
        <v>11419.55</v>
      </c>
      <c r="L735">
        <v>62284.89</v>
      </c>
      <c r="M735">
        <v>1.49</v>
      </c>
      <c r="N735">
        <v>2.37</v>
      </c>
      <c r="O735">
        <v>8.23</v>
      </c>
      <c r="P735">
        <v>356.86</v>
      </c>
      <c r="Q735">
        <v>5.45</v>
      </c>
      <c r="R735">
        <v>445.42</v>
      </c>
    </row>
    <row r="736" spans="1:18" x14ac:dyDescent="0.3">
      <c r="A736" t="s">
        <v>1500</v>
      </c>
      <c r="B736" t="s">
        <v>1501</v>
      </c>
      <c r="C736" t="s">
        <v>25</v>
      </c>
      <c r="D736" t="s">
        <v>57</v>
      </c>
      <c r="E736" t="s">
        <v>38</v>
      </c>
      <c r="F736" s="1">
        <v>45459</v>
      </c>
      <c r="G736" s="1">
        <v>45484</v>
      </c>
      <c r="H736">
        <v>300801</v>
      </c>
      <c r="I736">
        <v>6858</v>
      </c>
      <c r="J736">
        <v>406</v>
      </c>
      <c r="K736">
        <v>6775.66</v>
      </c>
      <c r="L736">
        <v>31632.79</v>
      </c>
      <c r="M736">
        <v>2.2799999999999998</v>
      </c>
      <c r="N736">
        <v>5.93</v>
      </c>
      <c r="O736">
        <v>0.99</v>
      </c>
      <c r="P736">
        <v>16.690000000000001</v>
      </c>
      <c r="Q736">
        <v>4.67</v>
      </c>
      <c r="R736">
        <v>366.86</v>
      </c>
    </row>
    <row r="737" spans="1:18" x14ac:dyDescent="0.3">
      <c r="A737" t="s">
        <v>1502</v>
      </c>
      <c r="B737" t="s">
        <v>1503</v>
      </c>
      <c r="C737" t="s">
        <v>29</v>
      </c>
      <c r="D737" t="s">
        <v>21</v>
      </c>
      <c r="E737" t="s">
        <v>38</v>
      </c>
      <c r="F737" s="1">
        <v>45406</v>
      </c>
      <c r="G737" s="1">
        <v>45414</v>
      </c>
      <c r="H737">
        <v>242728</v>
      </c>
      <c r="I737">
        <v>4975</v>
      </c>
      <c r="J737">
        <v>317</v>
      </c>
      <c r="K737">
        <v>17171.36</v>
      </c>
      <c r="L737">
        <v>102676.77</v>
      </c>
      <c r="M737">
        <v>2.0499999999999998</v>
      </c>
      <c r="N737">
        <v>6.38</v>
      </c>
      <c r="O737">
        <v>3.45</v>
      </c>
      <c r="P737">
        <v>54.17</v>
      </c>
      <c r="Q737">
        <v>5.98</v>
      </c>
      <c r="R737">
        <v>497.95</v>
      </c>
    </row>
    <row r="738" spans="1:18" x14ac:dyDescent="0.3">
      <c r="A738" t="s">
        <v>1504</v>
      </c>
      <c r="B738" t="s">
        <v>1505</v>
      </c>
      <c r="C738" t="s">
        <v>20</v>
      </c>
      <c r="D738" t="s">
        <v>34</v>
      </c>
      <c r="E738" t="s">
        <v>26</v>
      </c>
      <c r="F738" s="1">
        <v>45511</v>
      </c>
      <c r="G738" s="1">
        <v>45556</v>
      </c>
      <c r="H738">
        <v>292443</v>
      </c>
      <c r="I738">
        <v>9621</v>
      </c>
      <c r="J738">
        <v>789</v>
      </c>
      <c r="K738">
        <v>8375.1200000000008</v>
      </c>
      <c r="L738">
        <v>31864.46</v>
      </c>
      <c r="M738">
        <v>3.29</v>
      </c>
      <c r="N738">
        <v>8.2100000000000009</v>
      </c>
      <c r="O738">
        <v>0.87</v>
      </c>
      <c r="P738">
        <v>10.61</v>
      </c>
      <c r="Q738">
        <v>3.8</v>
      </c>
      <c r="R738">
        <v>280.47000000000003</v>
      </c>
    </row>
    <row r="739" spans="1:18" x14ac:dyDescent="0.3">
      <c r="A739" t="s">
        <v>1506</v>
      </c>
      <c r="B739" t="s">
        <v>1507</v>
      </c>
      <c r="C739" t="s">
        <v>44</v>
      </c>
      <c r="D739" t="s">
        <v>34</v>
      </c>
      <c r="E739" t="s">
        <v>26</v>
      </c>
      <c r="F739" s="1">
        <v>45524</v>
      </c>
      <c r="G739" s="1">
        <v>45562</v>
      </c>
      <c r="H739">
        <v>242896</v>
      </c>
      <c r="I739">
        <v>3983</v>
      </c>
      <c r="J739">
        <v>139</v>
      </c>
      <c r="K739">
        <v>2676.44</v>
      </c>
      <c r="L739">
        <v>11686.06</v>
      </c>
      <c r="M739">
        <v>1.64</v>
      </c>
      <c r="N739">
        <v>3.49</v>
      </c>
      <c r="O739">
        <v>0.67</v>
      </c>
      <c r="P739">
        <v>19.25</v>
      </c>
      <c r="Q739">
        <v>4.37</v>
      </c>
      <c r="R739">
        <v>336.63</v>
      </c>
    </row>
    <row r="740" spans="1:18" x14ac:dyDescent="0.3">
      <c r="A740" t="s">
        <v>1508</v>
      </c>
      <c r="B740" t="s">
        <v>1509</v>
      </c>
      <c r="C740" t="s">
        <v>20</v>
      </c>
      <c r="D740" t="s">
        <v>34</v>
      </c>
      <c r="E740" t="s">
        <v>41</v>
      </c>
      <c r="F740" s="1">
        <v>45487</v>
      </c>
      <c r="G740" s="1">
        <v>45502</v>
      </c>
      <c r="H740">
        <v>149900</v>
      </c>
      <c r="I740">
        <v>9413</v>
      </c>
      <c r="J740">
        <v>835</v>
      </c>
      <c r="K740">
        <v>10324.06</v>
      </c>
      <c r="L740">
        <v>55326.57</v>
      </c>
      <c r="M740">
        <v>6.28</v>
      </c>
      <c r="N740">
        <v>8.8800000000000008</v>
      </c>
      <c r="O740">
        <v>1.1000000000000001</v>
      </c>
      <c r="P740">
        <v>12.36</v>
      </c>
      <c r="Q740">
        <v>5.36</v>
      </c>
      <c r="R740">
        <v>435.9</v>
      </c>
    </row>
    <row r="741" spans="1:18" x14ac:dyDescent="0.3">
      <c r="A741" t="s">
        <v>1510</v>
      </c>
      <c r="B741" t="s">
        <v>1511</v>
      </c>
      <c r="C741" t="s">
        <v>25</v>
      </c>
      <c r="D741" t="s">
        <v>34</v>
      </c>
      <c r="E741" t="s">
        <v>31</v>
      </c>
      <c r="F741" s="1">
        <v>45501</v>
      </c>
      <c r="G741" s="1">
        <v>45517</v>
      </c>
      <c r="H741">
        <v>163018</v>
      </c>
      <c r="I741">
        <v>4059</v>
      </c>
      <c r="J741">
        <v>283</v>
      </c>
      <c r="K741">
        <v>14835.02</v>
      </c>
      <c r="L741">
        <v>57596.81</v>
      </c>
      <c r="M741">
        <v>2.4900000000000002</v>
      </c>
      <c r="N741">
        <v>6.98</v>
      </c>
      <c r="O741">
        <v>3.65</v>
      </c>
      <c r="P741">
        <v>52.42</v>
      </c>
      <c r="Q741">
        <v>3.88</v>
      </c>
      <c r="R741">
        <v>288.25</v>
      </c>
    </row>
    <row r="742" spans="1:18" x14ac:dyDescent="0.3">
      <c r="A742" t="s">
        <v>1512</v>
      </c>
      <c r="B742" t="s">
        <v>1513</v>
      </c>
      <c r="C742" t="s">
        <v>20</v>
      </c>
      <c r="D742" t="s">
        <v>57</v>
      </c>
      <c r="E742" t="s">
        <v>22</v>
      </c>
      <c r="F742" s="1">
        <v>45526</v>
      </c>
      <c r="G742" s="1">
        <v>45538</v>
      </c>
      <c r="H742">
        <v>173462</v>
      </c>
      <c r="I742">
        <v>8621</v>
      </c>
      <c r="J742">
        <v>813</v>
      </c>
      <c r="K742">
        <v>12392.75</v>
      </c>
      <c r="L742">
        <v>62945.279999999999</v>
      </c>
      <c r="M742">
        <v>4.97</v>
      </c>
      <c r="N742">
        <v>9.44</v>
      </c>
      <c r="O742">
        <v>1.44</v>
      </c>
      <c r="P742">
        <v>15.24</v>
      </c>
      <c r="Q742">
        <v>5.08</v>
      </c>
      <c r="R742">
        <v>407.92</v>
      </c>
    </row>
    <row r="743" spans="1:18" x14ac:dyDescent="0.3">
      <c r="A743" t="s">
        <v>1514</v>
      </c>
      <c r="B743" t="s">
        <v>1515</v>
      </c>
      <c r="C743" t="s">
        <v>20</v>
      </c>
      <c r="D743" t="s">
        <v>30</v>
      </c>
      <c r="E743" t="s">
        <v>41</v>
      </c>
      <c r="F743" s="1">
        <v>45508</v>
      </c>
      <c r="G743" s="1">
        <v>45553</v>
      </c>
      <c r="H743">
        <v>219473</v>
      </c>
      <c r="I743">
        <v>14046</v>
      </c>
      <c r="J743">
        <v>897</v>
      </c>
      <c r="K743">
        <v>9244.35</v>
      </c>
      <c r="L743">
        <v>34441.949999999997</v>
      </c>
      <c r="M743">
        <v>6.4</v>
      </c>
      <c r="N743">
        <v>6.39</v>
      </c>
      <c r="O743">
        <v>0.66</v>
      </c>
      <c r="P743">
        <v>10.31</v>
      </c>
      <c r="Q743">
        <v>3.73</v>
      </c>
      <c r="R743">
        <v>272.57</v>
      </c>
    </row>
    <row r="744" spans="1:18" x14ac:dyDescent="0.3">
      <c r="A744" t="s">
        <v>1516</v>
      </c>
      <c r="B744" t="s">
        <v>1517</v>
      </c>
      <c r="C744" t="s">
        <v>44</v>
      </c>
      <c r="D744" t="s">
        <v>21</v>
      </c>
      <c r="E744" t="s">
        <v>26</v>
      </c>
      <c r="F744" s="1">
        <v>45602</v>
      </c>
      <c r="G744" s="1">
        <v>45647</v>
      </c>
      <c r="H744">
        <v>342028</v>
      </c>
      <c r="I744">
        <v>4617</v>
      </c>
      <c r="J744">
        <v>123</v>
      </c>
      <c r="K744">
        <v>5435.52</v>
      </c>
      <c r="L744">
        <v>33086.120000000003</v>
      </c>
      <c r="M744">
        <v>1.35</v>
      </c>
      <c r="N744">
        <v>2.67</v>
      </c>
      <c r="O744">
        <v>1.18</v>
      </c>
      <c r="P744">
        <v>44.19</v>
      </c>
      <c r="Q744">
        <v>6.09</v>
      </c>
      <c r="R744">
        <v>508.7</v>
      </c>
    </row>
    <row r="745" spans="1:18" x14ac:dyDescent="0.3">
      <c r="A745" t="s">
        <v>1518</v>
      </c>
      <c r="B745" t="s">
        <v>1519</v>
      </c>
      <c r="C745" t="s">
        <v>20</v>
      </c>
      <c r="D745" t="s">
        <v>21</v>
      </c>
      <c r="E745" t="s">
        <v>22</v>
      </c>
      <c r="F745" s="1">
        <v>45578</v>
      </c>
      <c r="G745" s="1">
        <v>45587</v>
      </c>
      <c r="H745">
        <v>314525</v>
      </c>
      <c r="I745">
        <v>15663</v>
      </c>
      <c r="J745">
        <v>911</v>
      </c>
      <c r="K745">
        <v>12893.94</v>
      </c>
      <c r="L745">
        <v>47308.58</v>
      </c>
      <c r="M745">
        <v>4.9800000000000004</v>
      </c>
      <c r="N745">
        <v>5.82</v>
      </c>
      <c r="O745">
        <v>0.82</v>
      </c>
      <c r="P745">
        <v>14.15</v>
      </c>
      <c r="Q745">
        <v>3.67</v>
      </c>
      <c r="R745">
        <v>266.91000000000003</v>
      </c>
    </row>
    <row r="746" spans="1:18" x14ac:dyDescent="0.3">
      <c r="A746" t="s">
        <v>1520</v>
      </c>
      <c r="B746" t="s">
        <v>1521</v>
      </c>
      <c r="C746" t="s">
        <v>37</v>
      </c>
      <c r="D746" t="s">
        <v>34</v>
      </c>
      <c r="E746" t="s">
        <v>22</v>
      </c>
      <c r="F746" s="1">
        <v>45454</v>
      </c>
      <c r="G746" s="1">
        <v>45494</v>
      </c>
      <c r="H746">
        <v>139058</v>
      </c>
      <c r="I746">
        <v>9761</v>
      </c>
      <c r="J746">
        <v>1688</v>
      </c>
      <c r="K746">
        <v>4450.54</v>
      </c>
      <c r="L746">
        <v>11543.09</v>
      </c>
      <c r="M746">
        <v>7.02</v>
      </c>
      <c r="N746">
        <v>17.3</v>
      </c>
      <c r="O746">
        <v>0.46</v>
      </c>
      <c r="P746">
        <v>2.64</v>
      </c>
      <c r="Q746">
        <v>2.59</v>
      </c>
      <c r="R746">
        <v>159.36000000000001</v>
      </c>
    </row>
    <row r="747" spans="1:18" x14ac:dyDescent="0.3">
      <c r="A747" t="s">
        <v>1522</v>
      </c>
      <c r="B747" t="s">
        <v>1523</v>
      </c>
      <c r="C747" t="s">
        <v>25</v>
      </c>
      <c r="D747" t="s">
        <v>34</v>
      </c>
      <c r="E747" t="s">
        <v>22</v>
      </c>
      <c r="F747" s="1">
        <v>45435</v>
      </c>
      <c r="G747" s="1">
        <v>45465</v>
      </c>
      <c r="H747">
        <v>111258</v>
      </c>
      <c r="I747">
        <v>1479</v>
      </c>
      <c r="J747">
        <v>175</v>
      </c>
      <c r="K747">
        <v>11987.37</v>
      </c>
      <c r="L747">
        <v>76481.48</v>
      </c>
      <c r="M747">
        <v>1.33</v>
      </c>
      <c r="N747">
        <v>11.85</v>
      </c>
      <c r="O747">
        <v>8.11</v>
      </c>
      <c r="P747">
        <v>68.5</v>
      </c>
      <c r="Q747">
        <v>6.38</v>
      </c>
      <c r="R747">
        <v>538.02</v>
      </c>
    </row>
    <row r="748" spans="1:18" x14ac:dyDescent="0.3">
      <c r="A748" t="s">
        <v>1524</v>
      </c>
      <c r="B748" t="s">
        <v>1525</v>
      </c>
      <c r="C748" t="s">
        <v>25</v>
      </c>
      <c r="D748" t="s">
        <v>57</v>
      </c>
      <c r="E748" t="s">
        <v>22</v>
      </c>
      <c r="F748" s="1">
        <v>45376</v>
      </c>
      <c r="G748" s="1">
        <v>45403</v>
      </c>
      <c r="H748">
        <v>371352</v>
      </c>
      <c r="I748">
        <v>8206</v>
      </c>
      <c r="J748">
        <v>942</v>
      </c>
      <c r="K748">
        <v>12271.56</v>
      </c>
      <c r="L748">
        <v>48607.519999999997</v>
      </c>
      <c r="M748">
        <v>2.21</v>
      </c>
      <c r="N748">
        <v>11.49</v>
      </c>
      <c r="O748">
        <v>1.5</v>
      </c>
      <c r="P748">
        <v>13.03</v>
      </c>
      <c r="Q748">
        <v>3.96</v>
      </c>
      <c r="R748">
        <v>296.10000000000002</v>
      </c>
    </row>
    <row r="749" spans="1:18" x14ac:dyDescent="0.3">
      <c r="A749" t="s">
        <v>1526</v>
      </c>
      <c r="B749" t="s">
        <v>1527</v>
      </c>
      <c r="C749" t="s">
        <v>25</v>
      </c>
      <c r="D749" t="s">
        <v>34</v>
      </c>
      <c r="E749" t="s">
        <v>31</v>
      </c>
      <c r="F749" s="1">
        <v>45319</v>
      </c>
      <c r="G749" s="1">
        <v>45340</v>
      </c>
      <c r="H749">
        <v>497235</v>
      </c>
      <c r="I749">
        <v>11784</v>
      </c>
      <c r="J749">
        <v>1114</v>
      </c>
      <c r="K749">
        <v>11039.83</v>
      </c>
      <c r="L749">
        <v>31465.06</v>
      </c>
      <c r="M749">
        <v>2.37</v>
      </c>
      <c r="N749">
        <v>9.4600000000000009</v>
      </c>
      <c r="O749">
        <v>0.94</v>
      </c>
      <c r="P749">
        <v>9.91</v>
      </c>
      <c r="Q749">
        <v>2.85</v>
      </c>
      <c r="R749">
        <v>185.01</v>
      </c>
    </row>
    <row r="750" spans="1:18" x14ac:dyDescent="0.3">
      <c r="A750" t="s">
        <v>1528</v>
      </c>
      <c r="B750" t="s">
        <v>1529</v>
      </c>
      <c r="C750" t="s">
        <v>29</v>
      </c>
      <c r="D750" t="s">
        <v>21</v>
      </c>
      <c r="E750" t="s">
        <v>38</v>
      </c>
      <c r="F750" s="1">
        <v>45545</v>
      </c>
      <c r="G750" s="1">
        <v>45554</v>
      </c>
      <c r="H750">
        <v>186432</v>
      </c>
      <c r="I750">
        <v>3709</v>
      </c>
      <c r="J750">
        <v>160</v>
      </c>
      <c r="K750">
        <v>4740.3599999999997</v>
      </c>
      <c r="L750">
        <v>28576.26</v>
      </c>
      <c r="M750">
        <v>1.99</v>
      </c>
      <c r="N750">
        <v>4.34</v>
      </c>
      <c r="O750">
        <v>1.28</v>
      </c>
      <c r="P750">
        <v>29.63</v>
      </c>
      <c r="Q750">
        <v>6.03</v>
      </c>
      <c r="R750">
        <v>502.83</v>
      </c>
    </row>
    <row r="751" spans="1:18" x14ac:dyDescent="0.3">
      <c r="A751" t="s">
        <v>1530</v>
      </c>
      <c r="B751" t="s">
        <v>1531</v>
      </c>
      <c r="C751" t="s">
        <v>25</v>
      </c>
      <c r="D751" t="s">
        <v>57</v>
      </c>
      <c r="E751" t="s">
        <v>31</v>
      </c>
      <c r="F751" s="1">
        <v>45470</v>
      </c>
      <c r="G751" s="1">
        <v>45482</v>
      </c>
      <c r="H751">
        <v>304384</v>
      </c>
      <c r="I751">
        <v>4809</v>
      </c>
      <c r="J751">
        <v>278</v>
      </c>
      <c r="K751">
        <v>15516.22</v>
      </c>
      <c r="L751">
        <v>41369.99</v>
      </c>
      <c r="M751">
        <v>1.58</v>
      </c>
      <c r="N751">
        <v>5.79</v>
      </c>
      <c r="O751">
        <v>3.23</v>
      </c>
      <c r="P751">
        <v>55.81</v>
      </c>
      <c r="Q751">
        <v>2.67</v>
      </c>
      <c r="R751">
        <v>166.62</v>
      </c>
    </row>
    <row r="752" spans="1:18" x14ac:dyDescent="0.3">
      <c r="A752" t="s">
        <v>1532</v>
      </c>
      <c r="B752" t="s">
        <v>1533</v>
      </c>
      <c r="C752" t="s">
        <v>29</v>
      </c>
      <c r="D752" t="s">
        <v>57</v>
      </c>
      <c r="E752" t="s">
        <v>41</v>
      </c>
      <c r="F752" s="1">
        <v>45591</v>
      </c>
      <c r="G752" s="1">
        <v>45611</v>
      </c>
      <c r="H752">
        <v>487756</v>
      </c>
      <c r="I752">
        <v>9755</v>
      </c>
      <c r="J752">
        <v>442</v>
      </c>
      <c r="K752">
        <v>7091.87</v>
      </c>
      <c r="L752">
        <v>42615.23</v>
      </c>
      <c r="M752">
        <v>2</v>
      </c>
      <c r="N752">
        <v>4.54</v>
      </c>
      <c r="O752">
        <v>0.73</v>
      </c>
      <c r="P752">
        <v>16.04</v>
      </c>
      <c r="Q752">
        <v>6.01</v>
      </c>
      <c r="R752">
        <v>500.9</v>
      </c>
    </row>
    <row r="753" spans="1:18" x14ac:dyDescent="0.3">
      <c r="A753" t="s">
        <v>1534</v>
      </c>
      <c r="B753" t="s">
        <v>1535</v>
      </c>
      <c r="C753" t="s">
        <v>37</v>
      </c>
      <c r="D753" t="s">
        <v>21</v>
      </c>
      <c r="E753" t="s">
        <v>31</v>
      </c>
      <c r="F753" s="1">
        <v>45340</v>
      </c>
      <c r="G753" s="1">
        <v>45368</v>
      </c>
      <c r="H753">
        <v>452049</v>
      </c>
      <c r="I753">
        <v>33542</v>
      </c>
      <c r="J753">
        <v>4078</v>
      </c>
      <c r="K753">
        <v>845.76</v>
      </c>
      <c r="L753">
        <v>4615.43</v>
      </c>
      <c r="M753">
        <v>7.42</v>
      </c>
      <c r="N753">
        <v>12.16</v>
      </c>
      <c r="O753">
        <v>0.03</v>
      </c>
      <c r="P753">
        <v>0.21</v>
      </c>
      <c r="Q753">
        <v>5.46</v>
      </c>
      <c r="R753">
        <v>445.71</v>
      </c>
    </row>
    <row r="754" spans="1:18" x14ac:dyDescent="0.3">
      <c r="A754" t="s">
        <v>1536</v>
      </c>
      <c r="B754" t="s">
        <v>1537</v>
      </c>
      <c r="C754" t="s">
        <v>20</v>
      </c>
      <c r="D754" t="s">
        <v>57</v>
      </c>
      <c r="E754" t="s">
        <v>26</v>
      </c>
      <c r="F754" s="1">
        <v>45306</v>
      </c>
      <c r="G754" s="1">
        <v>45318</v>
      </c>
      <c r="H754">
        <v>256658</v>
      </c>
      <c r="I754">
        <v>10240</v>
      </c>
      <c r="J754">
        <v>979</v>
      </c>
      <c r="K754">
        <v>7121.4</v>
      </c>
      <c r="L754">
        <v>24611.01</v>
      </c>
      <c r="M754">
        <v>3.99</v>
      </c>
      <c r="N754">
        <v>9.57</v>
      </c>
      <c r="O754">
        <v>0.7</v>
      </c>
      <c r="P754">
        <v>7.27</v>
      </c>
      <c r="Q754">
        <v>3.46</v>
      </c>
      <c r="R754">
        <v>245.59</v>
      </c>
    </row>
    <row r="755" spans="1:18" x14ac:dyDescent="0.3">
      <c r="A755" t="s">
        <v>1538</v>
      </c>
      <c r="B755" t="s">
        <v>1539</v>
      </c>
      <c r="C755" t="s">
        <v>25</v>
      </c>
      <c r="D755" t="s">
        <v>30</v>
      </c>
      <c r="E755" t="s">
        <v>38</v>
      </c>
      <c r="F755" s="1">
        <v>45610</v>
      </c>
      <c r="G755" s="1">
        <v>45645</v>
      </c>
      <c r="H755">
        <v>379439</v>
      </c>
      <c r="I755">
        <v>9182</v>
      </c>
      <c r="J755">
        <v>841</v>
      </c>
      <c r="K755">
        <v>4092.89</v>
      </c>
      <c r="L755">
        <v>26047.02</v>
      </c>
      <c r="M755">
        <v>2.42</v>
      </c>
      <c r="N755">
        <v>9.16</v>
      </c>
      <c r="O755">
        <v>0.45</v>
      </c>
      <c r="P755">
        <v>4.87</v>
      </c>
      <c r="Q755">
        <v>6.36</v>
      </c>
      <c r="R755">
        <v>536.4</v>
      </c>
    </row>
    <row r="756" spans="1:18" x14ac:dyDescent="0.3">
      <c r="A756" t="s">
        <v>1540</v>
      </c>
      <c r="B756" t="s">
        <v>1541</v>
      </c>
      <c r="C756" t="s">
        <v>44</v>
      </c>
      <c r="D756" t="s">
        <v>34</v>
      </c>
      <c r="E756" t="s">
        <v>41</v>
      </c>
      <c r="F756" s="1">
        <v>45572</v>
      </c>
      <c r="G756" s="1">
        <v>45617</v>
      </c>
      <c r="H756">
        <v>75523</v>
      </c>
      <c r="I756">
        <v>2477</v>
      </c>
      <c r="J756">
        <v>61</v>
      </c>
      <c r="K756">
        <v>12476.84</v>
      </c>
      <c r="L756">
        <v>66714.91</v>
      </c>
      <c r="M756">
        <v>3.28</v>
      </c>
      <c r="N756">
        <v>2.4900000000000002</v>
      </c>
      <c r="O756">
        <v>5.04</v>
      </c>
      <c r="P756">
        <v>204.54</v>
      </c>
      <c r="Q756">
        <v>5.35</v>
      </c>
      <c r="R756">
        <v>434.71</v>
      </c>
    </row>
    <row r="757" spans="1:18" x14ac:dyDescent="0.3">
      <c r="A757" t="s">
        <v>1542</v>
      </c>
      <c r="B757" t="s">
        <v>1543</v>
      </c>
      <c r="C757" t="s">
        <v>25</v>
      </c>
      <c r="D757" t="s">
        <v>21</v>
      </c>
      <c r="E757" t="s">
        <v>38</v>
      </c>
      <c r="F757" s="1">
        <v>45398</v>
      </c>
      <c r="G757" s="1">
        <v>45415</v>
      </c>
      <c r="H757">
        <v>183779</v>
      </c>
      <c r="I757">
        <v>2021</v>
      </c>
      <c r="J757">
        <v>237</v>
      </c>
      <c r="K757">
        <v>17848.25</v>
      </c>
      <c r="L757">
        <v>42859.85</v>
      </c>
      <c r="M757">
        <v>1.1000000000000001</v>
      </c>
      <c r="N757">
        <v>11.76</v>
      </c>
      <c r="O757">
        <v>8.83</v>
      </c>
      <c r="P757">
        <v>75.31</v>
      </c>
      <c r="Q757">
        <v>2.4</v>
      </c>
      <c r="R757">
        <v>140.13</v>
      </c>
    </row>
    <row r="758" spans="1:18" x14ac:dyDescent="0.3">
      <c r="A758" t="s">
        <v>1544</v>
      </c>
      <c r="B758" t="s">
        <v>1545</v>
      </c>
      <c r="C758" t="s">
        <v>25</v>
      </c>
      <c r="D758" t="s">
        <v>30</v>
      </c>
      <c r="E758" t="s">
        <v>22</v>
      </c>
      <c r="F758" s="1">
        <v>45513</v>
      </c>
      <c r="G758" s="1">
        <v>45539</v>
      </c>
      <c r="H758">
        <v>389302</v>
      </c>
      <c r="I758">
        <v>8097</v>
      </c>
      <c r="J758">
        <v>775</v>
      </c>
      <c r="K758">
        <v>5929.63</v>
      </c>
      <c r="L758">
        <v>24956.639999999999</v>
      </c>
      <c r="M758">
        <v>2.08</v>
      </c>
      <c r="N758">
        <v>9.58</v>
      </c>
      <c r="O758">
        <v>0.73</v>
      </c>
      <c r="P758">
        <v>7.65</v>
      </c>
      <c r="Q758">
        <v>4.21</v>
      </c>
      <c r="R758">
        <v>320.88</v>
      </c>
    </row>
    <row r="759" spans="1:18" x14ac:dyDescent="0.3">
      <c r="A759" t="s">
        <v>1546</v>
      </c>
      <c r="B759" t="s">
        <v>1547</v>
      </c>
      <c r="C759" t="s">
        <v>37</v>
      </c>
      <c r="D759" t="s">
        <v>34</v>
      </c>
      <c r="E759" t="s">
        <v>22</v>
      </c>
      <c r="F759" s="1">
        <v>45490</v>
      </c>
      <c r="G759" s="1">
        <v>45527</v>
      </c>
      <c r="H759">
        <v>398924</v>
      </c>
      <c r="I759">
        <v>18270</v>
      </c>
      <c r="J759">
        <v>2132</v>
      </c>
      <c r="K759">
        <v>1399.42</v>
      </c>
      <c r="L759">
        <v>5603.96</v>
      </c>
      <c r="M759">
        <v>4.58</v>
      </c>
      <c r="N759">
        <v>11.67</v>
      </c>
      <c r="O759">
        <v>0.08</v>
      </c>
      <c r="P759">
        <v>0.66</v>
      </c>
      <c r="Q759">
        <v>4</v>
      </c>
      <c r="R759">
        <v>300.45</v>
      </c>
    </row>
    <row r="760" spans="1:18" x14ac:dyDescent="0.3">
      <c r="A760" t="s">
        <v>1548</v>
      </c>
      <c r="B760" t="s">
        <v>1549</v>
      </c>
      <c r="C760" t="s">
        <v>44</v>
      </c>
      <c r="D760" t="s">
        <v>30</v>
      </c>
      <c r="E760" t="s">
        <v>26</v>
      </c>
      <c r="F760" s="1">
        <v>45339</v>
      </c>
      <c r="G760" s="1">
        <v>45348</v>
      </c>
      <c r="H760">
        <v>446618</v>
      </c>
      <c r="I760">
        <v>10272</v>
      </c>
      <c r="J760">
        <v>286</v>
      </c>
      <c r="K760">
        <v>4829.45</v>
      </c>
      <c r="L760">
        <v>23365.3</v>
      </c>
      <c r="M760">
        <v>2.2999999999999998</v>
      </c>
      <c r="N760">
        <v>2.79</v>
      </c>
      <c r="O760">
        <v>0.47</v>
      </c>
      <c r="P760">
        <v>16.89</v>
      </c>
      <c r="Q760">
        <v>4.84</v>
      </c>
      <c r="R760">
        <v>383.81</v>
      </c>
    </row>
    <row r="761" spans="1:18" x14ac:dyDescent="0.3">
      <c r="A761" t="s">
        <v>1550</v>
      </c>
      <c r="B761" t="s">
        <v>1551</v>
      </c>
      <c r="C761" t="s">
        <v>37</v>
      </c>
      <c r="D761" t="s">
        <v>57</v>
      </c>
      <c r="E761" t="s">
        <v>38</v>
      </c>
      <c r="F761" s="1">
        <v>45614</v>
      </c>
      <c r="G761" s="1">
        <v>45654</v>
      </c>
      <c r="H761">
        <v>404649</v>
      </c>
      <c r="I761">
        <v>21648</v>
      </c>
      <c r="J761">
        <v>3216</v>
      </c>
      <c r="K761">
        <v>1197.81</v>
      </c>
      <c r="L761">
        <v>5065.4799999999996</v>
      </c>
      <c r="M761">
        <v>5.35</v>
      </c>
      <c r="N761">
        <v>14.86</v>
      </c>
      <c r="O761">
        <v>0.06</v>
      </c>
      <c r="P761">
        <v>0.37</v>
      </c>
      <c r="Q761">
        <v>4.2300000000000004</v>
      </c>
      <c r="R761">
        <v>322.89999999999998</v>
      </c>
    </row>
    <row r="762" spans="1:18" x14ac:dyDescent="0.3">
      <c r="A762" t="s">
        <v>1552</v>
      </c>
      <c r="B762" t="s">
        <v>1553</v>
      </c>
      <c r="C762" t="s">
        <v>20</v>
      </c>
      <c r="D762" t="s">
        <v>57</v>
      </c>
      <c r="E762" t="s">
        <v>38</v>
      </c>
      <c r="F762" s="1">
        <v>45445</v>
      </c>
      <c r="G762" s="1">
        <v>45467</v>
      </c>
      <c r="H762">
        <v>279300</v>
      </c>
      <c r="I762">
        <v>7876</v>
      </c>
      <c r="J762">
        <v>693</v>
      </c>
      <c r="K762">
        <v>11007.87</v>
      </c>
      <c r="L762">
        <v>70767.81</v>
      </c>
      <c r="M762">
        <v>2.82</v>
      </c>
      <c r="N762">
        <v>8.81</v>
      </c>
      <c r="O762">
        <v>1.4</v>
      </c>
      <c r="P762">
        <v>15.88</v>
      </c>
      <c r="Q762">
        <v>6.43</v>
      </c>
      <c r="R762">
        <v>542.88</v>
      </c>
    </row>
    <row r="763" spans="1:18" x14ac:dyDescent="0.3">
      <c r="A763" t="s">
        <v>1554</v>
      </c>
      <c r="B763" t="s">
        <v>1555</v>
      </c>
      <c r="C763" t="s">
        <v>37</v>
      </c>
      <c r="D763" t="s">
        <v>30</v>
      </c>
      <c r="E763" t="s">
        <v>22</v>
      </c>
      <c r="F763" s="1">
        <v>45509</v>
      </c>
      <c r="G763" s="1">
        <v>45542</v>
      </c>
      <c r="H763">
        <v>348076</v>
      </c>
      <c r="I763">
        <v>14932</v>
      </c>
      <c r="J763">
        <v>1309</v>
      </c>
      <c r="K763">
        <v>702.93</v>
      </c>
      <c r="L763">
        <v>1746.32</v>
      </c>
      <c r="M763">
        <v>4.29</v>
      </c>
      <c r="N763">
        <v>8.77</v>
      </c>
      <c r="O763">
        <v>0.05</v>
      </c>
      <c r="P763">
        <v>0.54</v>
      </c>
      <c r="Q763">
        <v>2.48</v>
      </c>
      <c r="R763">
        <v>148.43</v>
      </c>
    </row>
    <row r="764" spans="1:18" x14ac:dyDescent="0.3">
      <c r="A764" t="s">
        <v>1556</v>
      </c>
      <c r="B764" t="s">
        <v>1557</v>
      </c>
      <c r="C764" t="s">
        <v>20</v>
      </c>
      <c r="D764" t="s">
        <v>30</v>
      </c>
      <c r="E764" t="s">
        <v>31</v>
      </c>
      <c r="F764" s="1">
        <v>45350</v>
      </c>
      <c r="G764" s="1">
        <v>45386</v>
      </c>
      <c r="H764">
        <v>476154</v>
      </c>
      <c r="I764">
        <v>16713</v>
      </c>
      <c r="J764">
        <v>924</v>
      </c>
      <c r="K764">
        <v>6635.39</v>
      </c>
      <c r="L764">
        <v>28303.26</v>
      </c>
      <c r="M764">
        <v>3.51</v>
      </c>
      <c r="N764">
        <v>5.53</v>
      </c>
      <c r="O764">
        <v>0.4</v>
      </c>
      <c r="P764">
        <v>7.18</v>
      </c>
      <c r="Q764">
        <v>4.2699999999999996</v>
      </c>
      <c r="R764">
        <v>326.55</v>
      </c>
    </row>
    <row r="765" spans="1:18" x14ac:dyDescent="0.3">
      <c r="A765" t="s">
        <v>1558</v>
      </c>
      <c r="B765" t="s">
        <v>1559</v>
      </c>
      <c r="C765" t="s">
        <v>29</v>
      </c>
      <c r="D765" t="s">
        <v>34</v>
      </c>
      <c r="E765" t="s">
        <v>38</v>
      </c>
      <c r="F765" s="1">
        <v>45524</v>
      </c>
      <c r="G765" s="1">
        <v>45559</v>
      </c>
      <c r="H765">
        <v>73728</v>
      </c>
      <c r="I765">
        <v>1290</v>
      </c>
      <c r="J765">
        <v>82</v>
      </c>
      <c r="K765">
        <v>7464.71</v>
      </c>
      <c r="L765">
        <v>34654.449999999997</v>
      </c>
      <c r="M765">
        <v>1.75</v>
      </c>
      <c r="N765">
        <v>6.38</v>
      </c>
      <c r="O765">
        <v>5.79</v>
      </c>
      <c r="P765">
        <v>91.03</v>
      </c>
      <c r="Q765">
        <v>4.6399999999999997</v>
      </c>
      <c r="R765">
        <v>364.24</v>
      </c>
    </row>
    <row r="766" spans="1:18" x14ac:dyDescent="0.3">
      <c r="A766" t="s">
        <v>1560</v>
      </c>
      <c r="B766" t="s">
        <v>1561</v>
      </c>
      <c r="C766" t="s">
        <v>37</v>
      </c>
      <c r="D766" t="s">
        <v>57</v>
      </c>
      <c r="E766" t="s">
        <v>22</v>
      </c>
      <c r="F766" s="1">
        <v>45346</v>
      </c>
      <c r="G766" s="1">
        <v>45380</v>
      </c>
      <c r="H766">
        <v>474676</v>
      </c>
      <c r="I766">
        <v>24303</v>
      </c>
      <c r="J766">
        <v>2393</v>
      </c>
      <c r="K766">
        <v>3861.63</v>
      </c>
      <c r="L766">
        <v>18220.09</v>
      </c>
      <c r="M766">
        <v>5.12</v>
      </c>
      <c r="N766">
        <v>9.85</v>
      </c>
      <c r="O766">
        <v>0.16</v>
      </c>
      <c r="P766">
        <v>1.61</v>
      </c>
      <c r="Q766">
        <v>4.72</v>
      </c>
      <c r="R766">
        <v>371.82</v>
      </c>
    </row>
    <row r="767" spans="1:18" x14ac:dyDescent="0.3">
      <c r="A767" t="s">
        <v>1562</v>
      </c>
      <c r="B767" t="s">
        <v>1563</v>
      </c>
      <c r="C767" t="s">
        <v>37</v>
      </c>
      <c r="D767" t="s">
        <v>21</v>
      </c>
      <c r="E767" t="s">
        <v>26</v>
      </c>
      <c r="F767" s="1">
        <v>45600</v>
      </c>
      <c r="G767" s="1">
        <v>45638</v>
      </c>
      <c r="H767">
        <v>257059</v>
      </c>
      <c r="I767">
        <v>12081</v>
      </c>
      <c r="J767">
        <v>1174</v>
      </c>
      <c r="K767">
        <v>2647.04</v>
      </c>
      <c r="L767">
        <v>13534.65</v>
      </c>
      <c r="M767">
        <v>4.7</v>
      </c>
      <c r="N767">
        <v>9.7200000000000006</v>
      </c>
      <c r="O767">
        <v>0.22</v>
      </c>
      <c r="P767">
        <v>2.25</v>
      </c>
      <c r="Q767">
        <v>5.1100000000000003</v>
      </c>
      <c r="R767">
        <v>411.31</v>
      </c>
    </row>
    <row r="768" spans="1:18" x14ac:dyDescent="0.3">
      <c r="A768" t="s">
        <v>1564</v>
      </c>
      <c r="B768" t="s">
        <v>1565</v>
      </c>
      <c r="C768" t="s">
        <v>44</v>
      </c>
      <c r="D768" t="s">
        <v>57</v>
      </c>
      <c r="E768" t="s">
        <v>38</v>
      </c>
      <c r="F768" s="1">
        <v>45300</v>
      </c>
      <c r="G768" s="1">
        <v>45319</v>
      </c>
      <c r="H768">
        <v>471863</v>
      </c>
      <c r="I768">
        <v>9390</v>
      </c>
      <c r="J768">
        <v>182</v>
      </c>
      <c r="K768">
        <v>2673.45</v>
      </c>
      <c r="L768">
        <v>6693.27</v>
      </c>
      <c r="M768">
        <v>1.99</v>
      </c>
      <c r="N768">
        <v>1.94</v>
      </c>
      <c r="O768">
        <v>0.28000000000000003</v>
      </c>
      <c r="P768">
        <v>14.69</v>
      </c>
      <c r="Q768">
        <v>2.5</v>
      </c>
      <c r="R768">
        <v>150.36000000000001</v>
      </c>
    </row>
    <row r="769" spans="1:18" x14ac:dyDescent="0.3">
      <c r="A769" t="s">
        <v>1566</v>
      </c>
      <c r="B769" t="s">
        <v>1567</v>
      </c>
      <c r="C769" t="s">
        <v>20</v>
      </c>
      <c r="D769" t="s">
        <v>34</v>
      </c>
      <c r="E769" t="s">
        <v>38</v>
      </c>
      <c r="F769" s="1">
        <v>45567</v>
      </c>
      <c r="G769" s="1">
        <v>45586</v>
      </c>
      <c r="H769">
        <v>390065</v>
      </c>
      <c r="I769">
        <v>12014</v>
      </c>
      <c r="J769">
        <v>654</v>
      </c>
      <c r="K769">
        <v>21841.79</v>
      </c>
      <c r="L769">
        <v>128033.34</v>
      </c>
      <c r="M769">
        <v>3.08</v>
      </c>
      <c r="N769">
        <v>5.45</v>
      </c>
      <c r="O769">
        <v>1.82</v>
      </c>
      <c r="P769">
        <v>33.4</v>
      </c>
      <c r="Q769">
        <v>5.86</v>
      </c>
      <c r="R769">
        <v>486.19</v>
      </c>
    </row>
    <row r="770" spans="1:18" x14ac:dyDescent="0.3">
      <c r="A770" t="s">
        <v>1568</v>
      </c>
      <c r="B770" t="s">
        <v>1569</v>
      </c>
      <c r="C770" t="s">
        <v>20</v>
      </c>
      <c r="D770" t="s">
        <v>57</v>
      </c>
      <c r="E770" t="s">
        <v>38</v>
      </c>
      <c r="F770" s="1">
        <v>45519</v>
      </c>
      <c r="G770" s="1">
        <v>45557</v>
      </c>
      <c r="H770">
        <v>127681</v>
      </c>
      <c r="I770">
        <v>5617</v>
      </c>
      <c r="J770">
        <v>231</v>
      </c>
      <c r="K770">
        <v>8322.11</v>
      </c>
      <c r="L770">
        <v>22352.36</v>
      </c>
      <c r="M770">
        <v>4.4000000000000004</v>
      </c>
      <c r="N770">
        <v>4.13</v>
      </c>
      <c r="O770">
        <v>1.48</v>
      </c>
      <c r="P770">
        <v>36.03</v>
      </c>
      <c r="Q770">
        <v>2.69</v>
      </c>
      <c r="R770">
        <v>168.59</v>
      </c>
    </row>
    <row r="771" spans="1:18" x14ac:dyDescent="0.3">
      <c r="A771" t="s">
        <v>1570</v>
      </c>
      <c r="B771" t="s">
        <v>1571</v>
      </c>
      <c r="C771" t="s">
        <v>25</v>
      </c>
      <c r="D771" t="s">
        <v>21</v>
      </c>
      <c r="E771" t="s">
        <v>38</v>
      </c>
      <c r="F771" s="1">
        <v>45462</v>
      </c>
      <c r="G771" s="1">
        <v>45469</v>
      </c>
      <c r="H771">
        <v>356827</v>
      </c>
      <c r="I771">
        <v>4317</v>
      </c>
      <c r="J771">
        <v>304</v>
      </c>
      <c r="K771">
        <v>17271.21</v>
      </c>
      <c r="L771">
        <v>64988.11</v>
      </c>
      <c r="M771">
        <v>1.21</v>
      </c>
      <c r="N771">
        <v>7.06</v>
      </c>
      <c r="O771">
        <v>4</v>
      </c>
      <c r="P771">
        <v>56.81</v>
      </c>
      <c r="Q771">
        <v>3.76</v>
      </c>
      <c r="R771">
        <v>276.27999999999997</v>
      </c>
    </row>
    <row r="772" spans="1:18" x14ac:dyDescent="0.3">
      <c r="A772" t="s">
        <v>1572</v>
      </c>
      <c r="B772" t="s">
        <v>1573</v>
      </c>
      <c r="C772" t="s">
        <v>20</v>
      </c>
      <c r="D772" t="s">
        <v>30</v>
      </c>
      <c r="E772" t="s">
        <v>38</v>
      </c>
      <c r="F772" s="1">
        <v>45310</v>
      </c>
      <c r="G772" s="1">
        <v>45348</v>
      </c>
      <c r="H772">
        <v>494919</v>
      </c>
      <c r="I772">
        <v>22172</v>
      </c>
      <c r="J772">
        <v>1656</v>
      </c>
      <c r="K772">
        <v>19621.57</v>
      </c>
      <c r="L772">
        <v>127454.24</v>
      </c>
      <c r="M772">
        <v>4.4800000000000004</v>
      </c>
      <c r="N772">
        <v>7.47</v>
      </c>
      <c r="O772">
        <v>0.88</v>
      </c>
      <c r="P772">
        <v>11.85</v>
      </c>
      <c r="Q772">
        <v>6.5</v>
      </c>
      <c r="R772">
        <v>549.55999999999995</v>
      </c>
    </row>
    <row r="773" spans="1:18" x14ac:dyDescent="0.3">
      <c r="A773" t="s">
        <v>1574</v>
      </c>
      <c r="B773" t="s">
        <v>1575</v>
      </c>
      <c r="C773" t="s">
        <v>25</v>
      </c>
      <c r="D773" t="s">
        <v>30</v>
      </c>
      <c r="E773" t="s">
        <v>31</v>
      </c>
      <c r="F773" s="1">
        <v>45410</v>
      </c>
      <c r="G773" s="1">
        <v>45420</v>
      </c>
      <c r="H773">
        <v>359874</v>
      </c>
      <c r="I773">
        <v>7305</v>
      </c>
      <c r="J773">
        <v>843</v>
      </c>
      <c r="K773">
        <v>18481.169999999998</v>
      </c>
      <c r="L773">
        <v>109119.37</v>
      </c>
      <c r="M773">
        <v>2.0299999999999998</v>
      </c>
      <c r="N773">
        <v>11.55</v>
      </c>
      <c r="O773">
        <v>2.5299999999999998</v>
      </c>
      <c r="P773">
        <v>21.92</v>
      </c>
      <c r="Q773">
        <v>5.9</v>
      </c>
      <c r="R773">
        <v>490.44</v>
      </c>
    </row>
    <row r="774" spans="1:18" x14ac:dyDescent="0.3">
      <c r="A774" t="s">
        <v>1576</v>
      </c>
      <c r="B774" t="s">
        <v>1577</v>
      </c>
      <c r="C774" t="s">
        <v>37</v>
      </c>
      <c r="D774" t="s">
        <v>21</v>
      </c>
      <c r="E774" t="s">
        <v>38</v>
      </c>
      <c r="F774" s="1">
        <v>45534</v>
      </c>
      <c r="G774" s="1">
        <v>45548</v>
      </c>
      <c r="H774">
        <v>352201</v>
      </c>
      <c r="I774">
        <v>20779</v>
      </c>
      <c r="J774">
        <v>1795</v>
      </c>
      <c r="K774">
        <v>4517.95</v>
      </c>
      <c r="L774">
        <v>17516.63</v>
      </c>
      <c r="M774">
        <v>5.9</v>
      </c>
      <c r="N774">
        <v>8.64</v>
      </c>
      <c r="O774">
        <v>0.22</v>
      </c>
      <c r="P774">
        <v>2.52</v>
      </c>
      <c r="Q774">
        <v>3.88</v>
      </c>
      <c r="R774">
        <v>287.70999999999998</v>
      </c>
    </row>
    <row r="775" spans="1:18" x14ac:dyDescent="0.3">
      <c r="A775" t="s">
        <v>1578</v>
      </c>
      <c r="B775" t="s">
        <v>1579</v>
      </c>
      <c r="C775" t="s">
        <v>25</v>
      </c>
      <c r="D775" t="s">
        <v>57</v>
      </c>
      <c r="E775" t="s">
        <v>38</v>
      </c>
      <c r="F775" s="1">
        <v>45516</v>
      </c>
      <c r="G775" s="1">
        <v>45537</v>
      </c>
      <c r="H775">
        <v>415698</v>
      </c>
      <c r="I775">
        <v>6401</v>
      </c>
      <c r="J775">
        <v>392</v>
      </c>
      <c r="K775">
        <v>15619.35</v>
      </c>
      <c r="L775">
        <v>64220.24</v>
      </c>
      <c r="M775">
        <v>1.54</v>
      </c>
      <c r="N775">
        <v>6.13</v>
      </c>
      <c r="O775">
        <v>2.44</v>
      </c>
      <c r="P775">
        <v>39.85</v>
      </c>
      <c r="Q775">
        <v>4.1100000000000003</v>
      </c>
      <c r="R775">
        <v>311.16000000000003</v>
      </c>
    </row>
    <row r="776" spans="1:18" x14ac:dyDescent="0.3">
      <c r="A776" t="s">
        <v>1580</v>
      </c>
      <c r="B776" t="s">
        <v>1581</v>
      </c>
      <c r="C776" t="s">
        <v>37</v>
      </c>
      <c r="D776" t="s">
        <v>34</v>
      </c>
      <c r="E776" t="s">
        <v>31</v>
      </c>
      <c r="F776" s="1">
        <v>45359</v>
      </c>
      <c r="G776" s="1">
        <v>45384</v>
      </c>
      <c r="H776">
        <v>409123</v>
      </c>
      <c r="I776">
        <v>24670</v>
      </c>
      <c r="J776">
        <v>3458</v>
      </c>
      <c r="K776">
        <v>4291.1000000000004</v>
      </c>
      <c r="L776">
        <v>21268.03</v>
      </c>
      <c r="M776">
        <v>6.03</v>
      </c>
      <c r="N776">
        <v>14.02</v>
      </c>
      <c r="O776">
        <v>0.17</v>
      </c>
      <c r="P776">
        <v>1.24</v>
      </c>
      <c r="Q776">
        <v>4.96</v>
      </c>
      <c r="R776">
        <v>395.63</v>
      </c>
    </row>
    <row r="777" spans="1:18" x14ac:dyDescent="0.3">
      <c r="A777" t="s">
        <v>1582</v>
      </c>
      <c r="B777" t="s">
        <v>1583</v>
      </c>
      <c r="C777" t="s">
        <v>25</v>
      </c>
      <c r="D777" t="s">
        <v>30</v>
      </c>
      <c r="E777" t="s">
        <v>22</v>
      </c>
      <c r="F777" s="1">
        <v>45336</v>
      </c>
      <c r="G777" s="1">
        <v>45373</v>
      </c>
      <c r="H777">
        <v>467318</v>
      </c>
      <c r="I777">
        <v>7477</v>
      </c>
      <c r="J777">
        <v>882</v>
      </c>
      <c r="K777">
        <v>6592.41</v>
      </c>
      <c r="L777">
        <v>19331.84</v>
      </c>
      <c r="M777">
        <v>1.6</v>
      </c>
      <c r="N777">
        <v>11.8</v>
      </c>
      <c r="O777">
        <v>0.88</v>
      </c>
      <c r="P777">
        <v>7.47</v>
      </c>
      <c r="Q777">
        <v>2.93</v>
      </c>
      <c r="R777">
        <v>193.24</v>
      </c>
    </row>
    <row r="778" spans="1:18" x14ac:dyDescent="0.3">
      <c r="A778" t="s">
        <v>1584</v>
      </c>
      <c r="B778" t="s">
        <v>1585</v>
      </c>
      <c r="C778" t="s">
        <v>29</v>
      </c>
      <c r="D778" t="s">
        <v>34</v>
      </c>
      <c r="E778" t="s">
        <v>41</v>
      </c>
      <c r="F778" s="1">
        <v>45447</v>
      </c>
      <c r="G778" s="1">
        <v>45469</v>
      </c>
      <c r="H778">
        <v>131953</v>
      </c>
      <c r="I778">
        <v>4380</v>
      </c>
      <c r="J778">
        <v>109</v>
      </c>
      <c r="K778">
        <v>9239.77</v>
      </c>
      <c r="L778">
        <v>59799.35</v>
      </c>
      <c r="M778">
        <v>3.32</v>
      </c>
      <c r="N778">
        <v>2.5</v>
      </c>
      <c r="O778">
        <v>2.11</v>
      </c>
      <c r="P778">
        <v>84.77</v>
      </c>
      <c r="Q778">
        <v>6.47</v>
      </c>
      <c r="R778">
        <v>547.20000000000005</v>
      </c>
    </row>
    <row r="779" spans="1:18" x14ac:dyDescent="0.3">
      <c r="A779" t="s">
        <v>1586</v>
      </c>
      <c r="B779" t="s">
        <v>1587</v>
      </c>
      <c r="C779" t="s">
        <v>29</v>
      </c>
      <c r="D779" t="s">
        <v>21</v>
      </c>
      <c r="E779" t="s">
        <v>26</v>
      </c>
      <c r="F779" s="1">
        <v>45549</v>
      </c>
      <c r="G779" s="1">
        <v>45558</v>
      </c>
      <c r="H779">
        <v>238107</v>
      </c>
      <c r="I779">
        <v>9857</v>
      </c>
      <c r="J779">
        <v>373</v>
      </c>
      <c r="K779">
        <v>5379.08</v>
      </c>
      <c r="L779">
        <v>30799.37</v>
      </c>
      <c r="M779">
        <v>4.1399999999999997</v>
      </c>
      <c r="N779">
        <v>3.79</v>
      </c>
      <c r="O779">
        <v>0.55000000000000004</v>
      </c>
      <c r="P779">
        <v>14.42</v>
      </c>
      <c r="Q779">
        <v>5.73</v>
      </c>
      <c r="R779">
        <v>472.58</v>
      </c>
    </row>
    <row r="780" spans="1:18" x14ac:dyDescent="0.3">
      <c r="A780" t="s">
        <v>1588</v>
      </c>
      <c r="B780" t="s">
        <v>1589</v>
      </c>
      <c r="C780" t="s">
        <v>20</v>
      </c>
      <c r="D780" t="s">
        <v>57</v>
      </c>
      <c r="E780" t="s">
        <v>38</v>
      </c>
      <c r="F780" s="1">
        <v>45466</v>
      </c>
      <c r="G780" s="1">
        <v>45495</v>
      </c>
      <c r="H780">
        <v>109752</v>
      </c>
      <c r="I780">
        <v>5454</v>
      </c>
      <c r="J780">
        <v>257</v>
      </c>
      <c r="K780">
        <v>9481.91</v>
      </c>
      <c r="L780">
        <v>29964.73</v>
      </c>
      <c r="M780">
        <v>4.97</v>
      </c>
      <c r="N780">
        <v>4.72</v>
      </c>
      <c r="O780">
        <v>1.74</v>
      </c>
      <c r="P780">
        <v>36.89</v>
      </c>
      <c r="Q780">
        <v>3.16</v>
      </c>
      <c r="R780">
        <v>216.02</v>
      </c>
    </row>
    <row r="781" spans="1:18" x14ac:dyDescent="0.3">
      <c r="A781" t="s">
        <v>1590</v>
      </c>
      <c r="B781" t="s">
        <v>1591</v>
      </c>
      <c r="C781" t="s">
        <v>20</v>
      </c>
      <c r="D781" t="s">
        <v>57</v>
      </c>
      <c r="E781" t="s">
        <v>41</v>
      </c>
      <c r="F781" s="1">
        <v>45516</v>
      </c>
      <c r="G781" s="1">
        <v>45552</v>
      </c>
      <c r="H781">
        <v>497431</v>
      </c>
      <c r="I781">
        <v>26164</v>
      </c>
      <c r="J781">
        <v>1855</v>
      </c>
      <c r="K781">
        <v>18389.72</v>
      </c>
      <c r="L781">
        <v>95237.09</v>
      </c>
      <c r="M781">
        <v>5.26</v>
      </c>
      <c r="N781">
        <v>7.09</v>
      </c>
      <c r="O781">
        <v>0.7</v>
      </c>
      <c r="P781">
        <v>9.91</v>
      </c>
      <c r="Q781">
        <v>5.18</v>
      </c>
      <c r="R781">
        <v>417.88</v>
      </c>
    </row>
    <row r="782" spans="1:18" x14ac:dyDescent="0.3">
      <c r="A782" t="s">
        <v>1592</v>
      </c>
      <c r="B782" t="s">
        <v>1593</v>
      </c>
      <c r="C782" t="s">
        <v>20</v>
      </c>
      <c r="D782" t="s">
        <v>21</v>
      </c>
      <c r="E782" t="s">
        <v>31</v>
      </c>
      <c r="F782" s="1">
        <v>45345</v>
      </c>
      <c r="G782" s="1">
        <v>45362</v>
      </c>
      <c r="H782">
        <v>369635</v>
      </c>
      <c r="I782">
        <v>20810</v>
      </c>
      <c r="J782">
        <v>2014</v>
      </c>
      <c r="K782">
        <v>21472.2</v>
      </c>
      <c r="L782">
        <v>46999.69</v>
      </c>
      <c r="M782">
        <v>5.63</v>
      </c>
      <c r="N782">
        <v>9.68</v>
      </c>
      <c r="O782">
        <v>1.03</v>
      </c>
      <c r="P782">
        <v>10.66</v>
      </c>
      <c r="Q782">
        <v>2.19</v>
      </c>
      <c r="R782">
        <v>118.89</v>
      </c>
    </row>
    <row r="783" spans="1:18" x14ac:dyDescent="0.3">
      <c r="A783" t="s">
        <v>1594</v>
      </c>
      <c r="B783" t="s">
        <v>1595</v>
      </c>
      <c r="C783" t="s">
        <v>20</v>
      </c>
      <c r="D783" t="s">
        <v>34</v>
      </c>
      <c r="E783" t="s">
        <v>22</v>
      </c>
      <c r="F783" s="1">
        <v>45342</v>
      </c>
      <c r="G783" s="1">
        <v>45358</v>
      </c>
      <c r="H783">
        <v>132330</v>
      </c>
      <c r="I783">
        <v>7159</v>
      </c>
      <c r="J783">
        <v>590</v>
      </c>
      <c r="K783">
        <v>20239.29</v>
      </c>
      <c r="L783">
        <v>85870.44</v>
      </c>
      <c r="M783">
        <v>5.41</v>
      </c>
      <c r="N783">
        <v>8.25</v>
      </c>
      <c r="O783">
        <v>2.83</v>
      </c>
      <c r="P783">
        <v>34.299999999999997</v>
      </c>
      <c r="Q783">
        <v>4.24</v>
      </c>
      <c r="R783">
        <v>324.27999999999997</v>
      </c>
    </row>
    <row r="784" spans="1:18" x14ac:dyDescent="0.3">
      <c r="A784" t="s">
        <v>1596</v>
      </c>
      <c r="B784" t="s">
        <v>1597</v>
      </c>
      <c r="C784" t="s">
        <v>44</v>
      </c>
      <c r="D784" t="s">
        <v>57</v>
      </c>
      <c r="E784" t="s">
        <v>41</v>
      </c>
      <c r="F784" s="1">
        <v>45417</v>
      </c>
      <c r="G784" s="1">
        <v>45454</v>
      </c>
      <c r="H784">
        <v>114478</v>
      </c>
      <c r="I784">
        <v>3903</v>
      </c>
      <c r="J784">
        <v>118</v>
      </c>
      <c r="K784">
        <v>7696.87</v>
      </c>
      <c r="L784">
        <v>42029.91</v>
      </c>
      <c r="M784">
        <v>3.41</v>
      </c>
      <c r="N784">
        <v>3.04</v>
      </c>
      <c r="O784">
        <v>1.97</v>
      </c>
      <c r="P784">
        <v>65.23</v>
      </c>
      <c r="Q784">
        <v>5.46</v>
      </c>
      <c r="R784">
        <v>446.06</v>
      </c>
    </row>
    <row r="785" spans="1:18" x14ac:dyDescent="0.3">
      <c r="A785" t="s">
        <v>1598</v>
      </c>
      <c r="B785" t="s">
        <v>1599</v>
      </c>
      <c r="C785" t="s">
        <v>44</v>
      </c>
      <c r="D785" t="s">
        <v>57</v>
      </c>
      <c r="E785" t="s">
        <v>31</v>
      </c>
      <c r="F785" s="1">
        <v>45417</v>
      </c>
      <c r="G785" s="1">
        <v>45433</v>
      </c>
      <c r="H785">
        <v>139790</v>
      </c>
      <c r="I785">
        <v>1985</v>
      </c>
      <c r="J785">
        <v>55</v>
      </c>
      <c r="K785">
        <v>11935.57</v>
      </c>
      <c r="L785">
        <v>43241.32</v>
      </c>
      <c r="M785">
        <v>1.42</v>
      </c>
      <c r="N785">
        <v>2.8</v>
      </c>
      <c r="O785">
        <v>6.01</v>
      </c>
      <c r="P785">
        <v>217.01</v>
      </c>
      <c r="Q785">
        <v>3.62</v>
      </c>
      <c r="R785">
        <v>262.29000000000002</v>
      </c>
    </row>
    <row r="786" spans="1:18" x14ac:dyDescent="0.3">
      <c r="A786" t="s">
        <v>1600</v>
      </c>
      <c r="B786" t="s">
        <v>1601</v>
      </c>
      <c r="C786" t="s">
        <v>37</v>
      </c>
      <c r="D786" t="s">
        <v>30</v>
      </c>
      <c r="E786" t="s">
        <v>41</v>
      </c>
      <c r="F786" s="1">
        <v>45556</v>
      </c>
      <c r="G786" s="1">
        <v>45586</v>
      </c>
      <c r="H786">
        <v>122348</v>
      </c>
      <c r="I786">
        <v>10778</v>
      </c>
      <c r="J786">
        <v>1307</v>
      </c>
      <c r="K786">
        <v>2341.89</v>
      </c>
      <c r="L786">
        <v>9518.35</v>
      </c>
      <c r="M786">
        <v>8.81</v>
      </c>
      <c r="N786">
        <v>12.13</v>
      </c>
      <c r="O786">
        <v>0.22</v>
      </c>
      <c r="P786">
        <v>1.79</v>
      </c>
      <c r="Q786">
        <v>4.0599999999999996</v>
      </c>
      <c r="R786">
        <v>306.44</v>
      </c>
    </row>
    <row r="787" spans="1:18" x14ac:dyDescent="0.3">
      <c r="A787" t="s">
        <v>1602</v>
      </c>
      <c r="B787" t="s">
        <v>1603</v>
      </c>
      <c r="C787" t="s">
        <v>20</v>
      </c>
      <c r="D787" t="s">
        <v>30</v>
      </c>
      <c r="E787" t="s">
        <v>41</v>
      </c>
      <c r="F787" s="1">
        <v>45453</v>
      </c>
      <c r="G787" s="1">
        <v>45485</v>
      </c>
      <c r="H787">
        <v>453781</v>
      </c>
      <c r="I787">
        <v>11526</v>
      </c>
      <c r="J787">
        <v>1018</v>
      </c>
      <c r="K787">
        <v>23872.86</v>
      </c>
      <c r="L787">
        <v>56853.26</v>
      </c>
      <c r="M787">
        <v>2.54</v>
      </c>
      <c r="N787">
        <v>8.84</v>
      </c>
      <c r="O787">
        <v>2.0699999999999998</v>
      </c>
      <c r="P787">
        <v>23.45</v>
      </c>
      <c r="Q787">
        <v>2.38</v>
      </c>
      <c r="R787">
        <v>138.15</v>
      </c>
    </row>
    <row r="788" spans="1:18" x14ac:dyDescent="0.3">
      <c r="A788" t="s">
        <v>1604</v>
      </c>
      <c r="B788" t="s">
        <v>1605</v>
      </c>
      <c r="C788" t="s">
        <v>29</v>
      </c>
      <c r="D788" t="s">
        <v>30</v>
      </c>
      <c r="E788" t="s">
        <v>26</v>
      </c>
      <c r="F788" s="1">
        <v>45321</v>
      </c>
      <c r="G788" s="1">
        <v>45361</v>
      </c>
      <c r="H788">
        <v>256184</v>
      </c>
      <c r="I788">
        <v>9683</v>
      </c>
      <c r="J788">
        <v>513</v>
      </c>
      <c r="K788">
        <v>12621.99</v>
      </c>
      <c r="L788">
        <v>76505.67</v>
      </c>
      <c r="M788">
        <v>3.78</v>
      </c>
      <c r="N788">
        <v>5.3</v>
      </c>
      <c r="O788">
        <v>1.3</v>
      </c>
      <c r="P788">
        <v>24.6</v>
      </c>
      <c r="Q788">
        <v>6.06</v>
      </c>
      <c r="R788">
        <v>506.13</v>
      </c>
    </row>
    <row r="789" spans="1:18" x14ac:dyDescent="0.3">
      <c r="A789" t="s">
        <v>1606</v>
      </c>
      <c r="B789" t="s">
        <v>1607</v>
      </c>
      <c r="C789" t="s">
        <v>44</v>
      </c>
      <c r="D789" t="s">
        <v>30</v>
      </c>
      <c r="E789" t="s">
        <v>38</v>
      </c>
      <c r="F789" s="1">
        <v>45468</v>
      </c>
      <c r="G789" s="1">
        <v>45475</v>
      </c>
      <c r="H789">
        <v>406972</v>
      </c>
      <c r="I789">
        <v>12290</v>
      </c>
      <c r="J789">
        <v>560</v>
      </c>
      <c r="K789">
        <v>11519.39</v>
      </c>
      <c r="L789">
        <v>39299.879999999997</v>
      </c>
      <c r="M789">
        <v>3.02</v>
      </c>
      <c r="N789">
        <v>4.5599999999999996</v>
      </c>
      <c r="O789">
        <v>0.94</v>
      </c>
      <c r="P789">
        <v>20.57</v>
      </c>
      <c r="Q789">
        <v>3.41</v>
      </c>
      <c r="R789">
        <v>241.16</v>
      </c>
    </row>
    <row r="790" spans="1:18" x14ac:dyDescent="0.3">
      <c r="A790" t="s">
        <v>1608</v>
      </c>
      <c r="B790" t="s">
        <v>1609</v>
      </c>
      <c r="C790" t="s">
        <v>44</v>
      </c>
      <c r="D790" t="s">
        <v>34</v>
      </c>
      <c r="E790" t="s">
        <v>38</v>
      </c>
      <c r="F790" s="1">
        <v>45518</v>
      </c>
      <c r="G790" s="1">
        <v>45547</v>
      </c>
      <c r="H790">
        <v>283931</v>
      </c>
      <c r="I790">
        <v>8148</v>
      </c>
      <c r="J790">
        <v>375</v>
      </c>
      <c r="K790">
        <v>10304.5</v>
      </c>
      <c r="L790">
        <v>49274.51</v>
      </c>
      <c r="M790">
        <v>2.87</v>
      </c>
      <c r="N790">
        <v>4.6100000000000003</v>
      </c>
      <c r="O790">
        <v>1.26</v>
      </c>
      <c r="P790">
        <v>27.48</v>
      </c>
      <c r="Q790">
        <v>4.78</v>
      </c>
      <c r="R790">
        <v>378.18</v>
      </c>
    </row>
    <row r="791" spans="1:18" x14ac:dyDescent="0.3">
      <c r="A791" t="s">
        <v>1610</v>
      </c>
      <c r="B791" t="s">
        <v>1611</v>
      </c>
      <c r="C791" t="s">
        <v>25</v>
      </c>
      <c r="D791" t="s">
        <v>34</v>
      </c>
      <c r="E791" t="s">
        <v>22</v>
      </c>
      <c r="F791" s="1">
        <v>45356</v>
      </c>
      <c r="G791" s="1">
        <v>45396</v>
      </c>
      <c r="H791">
        <v>94187</v>
      </c>
      <c r="I791">
        <v>810</v>
      </c>
      <c r="J791">
        <v>59</v>
      </c>
      <c r="K791">
        <v>15601.58</v>
      </c>
      <c r="L791">
        <v>83160.09</v>
      </c>
      <c r="M791">
        <v>0.86</v>
      </c>
      <c r="N791">
        <v>7.34</v>
      </c>
      <c r="O791">
        <v>19.260000000000002</v>
      </c>
      <c r="P791">
        <v>264.43</v>
      </c>
      <c r="Q791">
        <v>5.33</v>
      </c>
      <c r="R791">
        <v>433.02</v>
      </c>
    </row>
    <row r="792" spans="1:18" x14ac:dyDescent="0.3">
      <c r="A792" t="s">
        <v>1612</v>
      </c>
      <c r="B792" t="s">
        <v>1613</v>
      </c>
      <c r="C792" t="s">
        <v>37</v>
      </c>
      <c r="D792" t="s">
        <v>57</v>
      </c>
      <c r="E792" t="s">
        <v>41</v>
      </c>
      <c r="F792" s="1">
        <v>45303</v>
      </c>
      <c r="G792" s="1">
        <v>45311</v>
      </c>
      <c r="H792">
        <v>98664</v>
      </c>
      <c r="I792">
        <v>6975</v>
      </c>
      <c r="J792">
        <v>775</v>
      </c>
      <c r="K792">
        <v>2033.19</v>
      </c>
      <c r="L792">
        <v>9882.49</v>
      </c>
      <c r="M792">
        <v>7.07</v>
      </c>
      <c r="N792">
        <v>11.12</v>
      </c>
      <c r="O792">
        <v>0.28999999999999998</v>
      </c>
      <c r="P792">
        <v>2.62</v>
      </c>
      <c r="Q792">
        <v>4.8600000000000003</v>
      </c>
      <c r="R792">
        <v>386.06</v>
      </c>
    </row>
    <row r="793" spans="1:18" x14ac:dyDescent="0.3">
      <c r="A793" t="s">
        <v>1614</v>
      </c>
      <c r="B793" t="s">
        <v>1615</v>
      </c>
      <c r="C793" t="s">
        <v>37</v>
      </c>
      <c r="D793" t="s">
        <v>57</v>
      </c>
      <c r="E793" t="s">
        <v>41</v>
      </c>
      <c r="F793" s="1">
        <v>45322</v>
      </c>
      <c r="G793" s="1">
        <v>45352</v>
      </c>
      <c r="H793">
        <v>486327</v>
      </c>
      <c r="I793">
        <v>42018</v>
      </c>
      <c r="J793">
        <v>6416</v>
      </c>
      <c r="K793">
        <v>4941.3</v>
      </c>
      <c r="L793">
        <v>12338.37</v>
      </c>
      <c r="M793">
        <v>8.64</v>
      </c>
      <c r="N793">
        <v>15.27</v>
      </c>
      <c r="O793">
        <v>0.12</v>
      </c>
      <c r="P793">
        <v>0.77</v>
      </c>
      <c r="Q793">
        <v>2.5</v>
      </c>
      <c r="R793">
        <v>149.69999999999999</v>
      </c>
    </row>
    <row r="794" spans="1:18" x14ac:dyDescent="0.3">
      <c r="A794" t="s">
        <v>1616</v>
      </c>
      <c r="B794" t="s">
        <v>1617</v>
      </c>
      <c r="C794" t="s">
        <v>44</v>
      </c>
      <c r="D794" t="s">
        <v>57</v>
      </c>
      <c r="E794" t="s">
        <v>26</v>
      </c>
      <c r="F794" s="1">
        <v>45294</v>
      </c>
      <c r="G794" s="1">
        <v>45330</v>
      </c>
      <c r="H794">
        <v>75025</v>
      </c>
      <c r="I794">
        <v>2378</v>
      </c>
      <c r="J794">
        <v>113</v>
      </c>
      <c r="K794">
        <v>8109.21</v>
      </c>
      <c r="L794">
        <v>37107.410000000003</v>
      </c>
      <c r="M794">
        <v>3.17</v>
      </c>
      <c r="N794">
        <v>4.79</v>
      </c>
      <c r="O794">
        <v>3.41</v>
      </c>
      <c r="P794">
        <v>71.760000000000005</v>
      </c>
      <c r="Q794">
        <v>4.58</v>
      </c>
      <c r="R794">
        <v>357.6</v>
      </c>
    </row>
    <row r="795" spans="1:18" x14ac:dyDescent="0.3">
      <c r="A795" t="s">
        <v>1618</v>
      </c>
      <c r="B795" t="s">
        <v>1619</v>
      </c>
      <c r="C795" t="s">
        <v>44</v>
      </c>
      <c r="D795" t="s">
        <v>34</v>
      </c>
      <c r="E795" t="s">
        <v>31</v>
      </c>
      <c r="F795" s="1">
        <v>45411</v>
      </c>
      <c r="G795" s="1">
        <v>45440</v>
      </c>
      <c r="H795">
        <v>346535</v>
      </c>
      <c r="I795">
        <v>10603</v>
      </c>
      <c r="J795">
        <v>506</v>
      </c>
      <c r="K795">
        <v>10819.01</v>
      </c>
      <c r="L795">
        <v>62752.76</v>
      </c>
      <c r="M795">
        <v>3.06</v>
      </c>
      <c r="N795">
        <v>4.78</v>
      </c>
      <c r="O795">
        <v>1.02</v>
      </c>
      <c r="P795">
        <v>21.38</v>
      </c>
      <c r="Q795">
        <v>5.8</v>
      </c>
      <c r="R795">
        <v>480.02</v>
      </c>
    </row>
    <row r="796" spans="1:18" x14ac:dyDescent="0.3">
      <c r="A796" t="s">
        <v>1620</v>
      </c>
      <c r="B796" t="s">
        <v>1621</v>
      </c>
      <c r="C796" t="s">
        <v>44</v>
      </c>
      <c r="D796" t="s">
        <v>57</v>
      </c>
      <c r="E796" t="s">
        <v>31</v>
      </c>
      <c r="F796" s="1">
        <v>45556</v>
      </c>
      <c r="G796" s="1">
        <v>45600</v>
      </c>
      <c r="H796">
        <v>402548</v>
      </c>
      <c r="I796">
        <v>6279</v>
      </c>
      <c r="J796">
        <v>177</v>
      </c>
      <c r="K796">
        <v>11718.9</v>
      </c>
      <c r="L796">
        <v>28986.95</v>
      </c>
      <c r="M796">
        <v>1.56</v>
      </c>
      <c r="N796">
        <v>2.82</v>
      </c>
      <c r="O796">
        <v>1.87</v>
      </c>
      <c r="P796">
        <v>66.209999999999994</v>
      </c>
      <c r="Q796">
        <v>2.4700000000000002</v>
      </c>
      <c r="R796">
        <v>147.35</v>
      </c>
    </row>
    <row r="797" spans="1:18" x14ac:dyDescent="0.3">
      <c r="A797" t="s">
        <v>1622</v>
      </c>
      <c r="B797" t="s">
        <v>1623</v>
      </c>
      <c r="C797" t="s">
        <v>29</v>
      </c>
      <c r="D797" t="s">
        <v>57</v>
      </c>
      <c r="E797" t="s">
        <v>38</v>
      </c>
      <c r="F797" s="1">
        <v>45509</v>
      </c>
      <c r="G797" s="1">
        <v>45524</v>
      </c>
      <c r="H797">
        <v>101373</v>
      </c>
      <c r="I797">
        <v>1966</v>
      </c>
      <c r="J797">
        <v>81</v>
      </c>
      <c r="K797">
        <v>9180.7900000000009</v>
      </c>
      <c r="L797">
        <v>22172.7</v>
      </c>
      <c r="M797">
        <v>1.94</v>
      </c>
      <c r="N797">
        <v>4.13</v>
      </c>
      <c r="O797">
        <v>4.67</v>
      </c>
      <c r="P797">
        <v>113.34</v>
      </c>
      <c r="Q797">
        <v>2.42</v>
      </c>
      <c r="R797">
        <v>141.51</v>
      </c>
    </row>
    <row r="798" spans="1:18" x14ac:dyDescent="0.3">
      <c r="A798" t="s">
        <v>1624</v>
      </c>
      <c r="B798" t="s">
        <v>1625</v>
      </c>
      <c r="C798" t="s">
        <v>25</v>
      </c>
      <c r="D798" t="s">
        <v>34</v>
      </c>
      <c r="E798" t="s">
        <v>38</v>
      </c>
      <c r="F798" s="1">
        <v>45494</v>
      </c>
      <c r="G798" s="1">
        <v>45517</v>
      </c>
      <c r="H798">
        <v>90932</v>
      </c>
      <c r="I798">
        <v>1300</v>
      </c>
      <c r="J798">
        <v>112</v>
      </c>
      <c r="K798">
        <v>13411.83</v>
      </c>
      <c r="L798">
        <v>58143.67</v>
      </c>
      <c r="M798">
        <v>1.43</v>
      </c>
      <c r="N798">
        <v>8.68</v>
      </c>
      <c r="O798">
        <v>10.32</v>
      </c>
      <c r="P798">
        <v>119.75</v>
      </c>
      <c r="Q798">
        <v>4.34</v>
      </c>
      <c r="R798">
        <v>333.53</v>
      </c>
    </row>
    <row r="799" spans="1:18" x14ac:dyDescent="0.3">
      <c r="A799" t="s">
        <v>1626</v>
      </c>
      <c r="B799" t="s">
        <v>1627</v>
      </c>
      <c r="C799" t="s">
        <v>37</v>
      </c>
      <c r="D799" t="s">
        <v>30</v>
      </c>
      <c r="E799" t="s">
        <v>38</v>
      </c>
      <c r="F799" s="1">
        <v>45375</v>
      </c>
      <c r="G799" s="1">
        <v>45391</v>
      </c>
      <c r="H799">
        <v>280728</v>
      </c>
      <c r="I799">
        <v>22823</v>
      </c>
      <c r="J799">
        <v>3989</v>
      </c>
      <c r="K799">
        <v>3792.73</v>
      </c>
      <c r="L799">
        <v>14701.19</v>
      </c>
      <c r="M799">
        <v>8.1300000000000008</v>
      </c>
      <c r="N799">
        <v>17.48</v>
      </c>
      <c r="O799">
        <v>0.17</v>
      </c>
      <c r="P799">
        <v>0.95</v>
      </c>
      <c r="Q799">
        <v>3.88</v>
      </c>
      <c r="R799">
        <v>287.61</v>
      </c>
    </row>
    <row r="800" spans="1:18" x14ac:dyDescent="0.3">
      <c r="A800" t="s">
        <v>1628</v>
      </c>
      <c r="B800" t="s">
        <v>1629</v>
      </c>
      <c r="C800" t="s">
        <v>37</v>
      </c>
      <c r="D800" t="s">
        <v>34</v>
      </c>
      <c r="E800" t="s">
        <v>38</v>
      </c>
      <c r="F800" s="1">
        <v>45400</v>
      </c>
      <c r="G800" s="1">
        <v>45436</v>
      </c>
      <c r="H800">
        <v>422847</v>
      </c>
      <c r="I800">
        <v>28542</v>
      </c>
      <c r="J800">
        <v>5046</v>
      </c>
      <c r="K800">
        <v>2809.33</v>
      </c>
      <c r="L800">
        <v>12308.05</v>
      </c>
      <c r="M800">
        <v>6.75</v>
      </c>
      <c r="N800">
        <v>17.68</v>
      </c>
      <c r="O800">
        <v>0.1</v>
      </c>
      <c r="P800">
        <v>0.56000000000000005</v>
      </c>
      <c r="Q800">
        <v>4.38</v>
      </c>
      <c r="R800">
        <v>338.11</v>
      </c>
    </row>
    <row r="801" spans="1:18" x14ac:dyDescent="0.3">
      <c r="A801" t="s">
        <v>1630</v>
      </c>
      <c r="B801" t="s">
        <v>1631</v>
      </c>
      <c r="C801" t="s">
        <v>25</v>
      </c>
      <c r="D801" t="s">
        <v>21</v>
      </c>
      <c r="E801" t="s">
        <v>41</v>
      </c>
      <c r="F801" s="1">
        <v>45353</v>
      </c>
      <c r="G801" s="1">
        <v>45383</v>
      </c>
      <c r="H801">
        <v>343090</v>
      </c>
      <c r="I801">
        <v>4906</v>
      </c>
      <c r="J801">
        <v>572</v>
      </c>
      <c r="K801">
        <v>13625.6</v>
      </c>
      <c r="L801">
        <v>52305.81</v>
      </c>
      <c r="M801">
        <v>1.43</v>
      </c>
      <c r="N801">
        <v>11.66</v>
      </c>
      <c r="O801">
        <v>2.78</v>
      </c>
      <c r="P801">
        <v>23.82</v>
      </c>
      <c r="Q801">
        <v>3.84</v>
      </c>
      <c r="R801">
        <v>283.88</v>
      </c>
    </row>
    <row r="802" spans="1:18" x14ac:dyDescent="0.3">
      <c r="A802" t="s">
        <v>1632</v>
      </c>
      <c r="B802" t="s">
        <v>1633</v>
      </c>
      <c r="C802" t="s">
        <v>37</v>
      </c>
      <c r="D802" t="s">
        <v>57</v>
      </c>
      <c r="E802" t="s">
        <v>26</v>
      </c>
      <c r="F802" s="1">
        <v>45540</v>
      </c>
      <c r="G802" s="1">
        <v>45548</v>
      </c>
      <c r="H802">
        <v>324085</v>
      </c>
      <c r="I802">
        <v>15944</v>
      </c>
      <c r="J802">
        <v>1867</v>
      </c>
      <c r="K802">
        <v>4959.59</v>
      </c>
      <c r="L802">
        <v>16687.39</v>
      </c>
      <c r="M802">
        <v>4.92</v>
      </c>
      <c r="N802">
        <v>11.71</v>
      </c>
      <c r="O802">
        <v>0.31</v>
      </c>
      <c r="P802">
        <v>2.66</v>
      </c>
      <c r="Q802">
        <v>3.36</v>
      </c>
      <c r="R802">
        <v>236.47</v>
      </c>
    </row>
    <row r="803" spans="1:18" x14ac:dyDescent="0.3">
      <c r="A803" t="s">
        <v>1634</v>
      </c>
      <c r="B803" t="s">
        <v>1635</v>
      </c>
      <c r="C803" t="s">
        <v>29</v>
      </c>
      <c r="D803" t="s">
        <v>34</v>
      </c>
      <c r="E803" t="s">
        <v>31</v>
      </c>
      <c r="F803" s="1">
        <v>45542</v>
      </c>
      <c r="G803" s="1">
        <v>45549</v>
      </c>
      <c r="H803">
        <v>271122</v>
      </c>
      <c r="I803">
        <v>4473</v>
      </c>
      <c r="J803">
        <v>289</v>
      </c>
      <c r="K803">
        <v>16335.86</v>
      </c>
      <c r="L803">
        <v>48519.41</v>
      </c>
      <c r="M803">
        <v>1.65</v>
      </c>
      <c r="N803">
        <v>6.47</v>
      </c>
      <c r="O803">
        <v>3.65</v>
      </c>
      <c r="P803">
        <v>56.53</v>
      </c>
      <c r="Q803">
        <v>2.97</v>
      </c>
      <c r="R803">
        <v>197.01</v>
      </c>
    </row>
    <row r="804" spans="1:18" x14ac:dyDescent="0.3">
      <c r="A804" t="s">
        <v>1636</v>
      </c>
      <c r="B804" t="s">
        <v>1637</v>
      </c>
      <c r="C804" t="s">
        <v>20</v>
      </c>
      <c r="D804" t="s">
        <v>57</v>
      </c>
      <c r="E804" t="s">
        <v>26</v>
      </c>
      <c r="F804" s="1">
        <v>45485</v>
      </c>
      <c r="G804" s="1">
        <v>45522</v>
      </c>
      <c r="H804">
        <v>73426</v>
      </c>
      <c r="I804">
        <v>3061</v>
      </c>
      <c r="J804">
        <v>227</v>
      </c>
      <c r="K804">
        <v>16315.28</v>
      </c>
      <c r="L804">
        <v>98728.54</v>
      </c>
      <c r="M804">
        <v>4.17</v>
      </c>
      <c r="N804">
        <v>7.44</v>
      </c>
      <c r="O804">
        <v>5.33</v>
      </c>
      <c r="P804">
        <v>71.87</v>
      </c>
      <c r="Q804">
        <v>6.05</v>
      </c>
      <c r="R804">
        <v>505.13</v>
      </c>
    </row>
    <row r="805" spans="1:18" x14ac:dyDescent="0.3">
      <c r="A805" t="s">
        <v>1638</v>
      </c>
      <c r="B805" t="s">
        <v>1639</v>
      </c>
      <c r="C805" t="s">
        <v>37</v>
      </c>
      <c r="D805" t="s">
        <v>34</v>
      </c>
      <c r="E805" t="s">
        <v>41</v>
      </c>
      <c r="F805" s="1">
        <v>45458</v>
      </c>
      <c r="G805" s="1">
        <v>45470</v>
      </c>
      <c r="H805">
        <v>314641</v>
      </c>
      <c r="I805">
        <v>24604</v>
      </c>
      <c r="J805">
        <v>3843</v>
      </c>
      <c r="K805">
        <v>3502.49</v>
      </c>
      <c r="L805">
        <v>9353.1299999999992</v>
      </c>
      <c r="M805">
        <v>7.82</v>
      </c>
      <c r="N805">
        <v>15.62</v>
      </c>
      <c r="O805">
        <v>0.14000000000000001</v>
      </c>
      <c r="P805">
        <v>0.91</v>
      </c>
      <c r="Q805">
        <v>2.67</v>
      </c>
      <c r="R805">
        <v>167.04</v>
      </c>
    </row>
    <row r="806" spans="1:18" x14ac:dyDescent="0.3">
      <c r="A806" t="s">
        <v>1640</v>
      </c>
      <c r="B806" t="s">
        <v>1641</v>
      </c>
      <c r="C806" t="s">
        <v>37</v>
      </c>
      <c r="D806" t="s">
        <v>30</v>
      </c>
      <c r="E806" t="s">
        <v>38</v>
      </c>
      <c r="F806" s="1">
        <v>45518</v>
      </c>
      <c r="G806" s="1">
        <v>45542</v>
      </c>
      <c r="H806">
        <v>172065</v>
      </c>
      <c r="I806">
        <v>16174</v>
      </c>
      <c r="J806">
        <v>1842</v>
      </c>
      <c r="K806">
        <v>706.19</v>
      </c>
      <c r="L806">
        <v>3542.95</v>
      </c>
      <c r="M806">
        <v>9.4</v>
      </c>
      <c r="N806">
        <v>11.39</v>
      </c>
      <c r="O806">
        <v>0.04</v>
      </c>
      <c r="P806">
        <v>0.38</v>
      </c>
      <c r="Q806">
        <v>5.0199999999999996</v>
      </c>
      <c r="R806">
        <v>401.7</v>
      </c>
    </row>
    <row r="807" spans="1:18" x14ac:dyDescent="0.3">
      <c r="A807" t="s">
        <v>1642</v>
      </c>
      <c r="B807" t="s">
        <v>1643</v>
      </c>
      <c r="C807" t="s">
        <v>20</v>
      </c>
      <c r="D807" t="s">
        <v>34</v>
      </c>
      <c r="E807" t="s">
        <v>26</v>
      </c>
      <c r="F807" s="1">
        <v>45621</v>
      </c>
      <c r="G807" s="1">
        <v>45663</v>
      </c>
      <c r="H807">
        <v>349890</v>
      </c>
      <c r="I807">
        <v>17564</v>
      </c>
      <c r="J807">
        <v>1515</v>
      </c>
      <c r="K807">
        <v>11176.96</v>
      </c>
      <c r="L807">
        <v>54803.08</v>
      </c>
      <c r="M807">
        <v>5.0199999999999996</v>
      </c>
      <c r="N807">
        <v>8.6300000000000008</v>
      </c>
      <c r="O807">
        <v>0.64</v>
      </c>
      <c r="P807">
        <v>7.38</v>
      </c>
      <c r="Q807">
        <v>4.9000000000000004</v>
      </c>
      <c r="R807">
        <v>390.32</v>
      </c>
    </row>
    <row r="808" spans="1:18" x14ac:dyDescent="0.3">
      <c r="A808" t="s">
        <v>1644</v>
      </c>
      <c r="B808" t="s">
        <v>1645</v>
      </c>
      <c r="C808" t="s">
        <v>20</v>
      </c>
      <c r="D808" t="s">
        <v>34</v>
      </c>
      <c r="E808" t="s">
        <v>31</v>
      </c>
      <c r="F808" s="1">
        <v>45535</v>
      </c>
      <c r="G808" s="1">
        <v>45574</v>
      </c>
      <c r="H808">
        <v>334077</v>
      </c>
      <c r="I808">
        <v>16069</v>
      </c>
      <c r="J808">
        <v>694</v>
      </c>
      <c r="K808">
        <v>16404.89</v>
      </c>
      <c r="L808">
        <v>46791.360000000001</v>
      </c>
      <c r="M808">
        <v>4.8099999999999996</v>
      </c>
      <c r="N808">
        <v>4.32</v>
      </c>
      <c r="O808">
        <v>1.02</v>
      </c>
      <c r="P808">
        <v>23.64</v>
      </c>
      <c r="Q808">
        <v>2.85</v>
      </c>
      <c r="R808">
        <v>185.23</v>
      </c>
    </row>
    <row r="809" spans="1:18" x14ac:dyDescent="0.3">
      <c r="A809" t="s">
        <v>1646</v>
      </c>
      <c r="B809" t="s">
        <v>1647</v>
      </c>
      <c r="C809" t="s">
        <v>20</v>
      </c>
      <c r="D809" t="s">
        <v>21</v>
      </c>
      <c r="E809" t="s">
        <v>31</v>
      </c>
      <c r="F809" s="1">
        <v>45588</v>
      </c>
      <c r="G809" s="1">
        <v>45623</v>
      </c>
      <c r="H809">
        <v>144237</v>
      </c>
      <c r="I809">
        <v>9159</v>
      </c>
      <c r="J809">
        <v>517</v>
      </c>
      <c r="K809">
        <v>9116.1</v>
      </c>
      <c r="L809">
        <v>52268.14</v>
      </c>
      <c r="M809">
        <v>6.35</v>
      </c>
      <c r="N809">
        <v>5.65</v>
      </c>
      <c r="O809">
        <v>1</v>
      </c>
      <c r="P809">
        <v>17.63</v>
      </c>
      <c r="Q809">
        <v>5.73</v>
      </c>
      <c r="R809">
        <v>473.36</v>
      </c>
    </row>
    <row r="810" spans="1:18" x14ac:dyDescent="0.3">
      <c r="A810" t="s">
        <v>1648</v>
      </c>
      <c r="B810" t="s">
        <v>1649</v>
      </c>
      <c r="C810" t="s">
        <v>20</v>
      </c>
      <c r="D810" t="s">
        <v>57</v>
      </c>
      <c r="E810" t="s">
        <v>38</v>
      </c>
      <c r="F810" s="1">
        <v>45504</v>
      </c>
      <c r="G810" s="1">
        <v>45512</v>
      </c>
      <c r="H810">
        <v>358749</v>
      </c>
      <c r="I810">
        <v>9614</v>
      </c>
      <c r="J810">
        <v>881</v>
      </c>
      <c r="K810">
        <v>5465.26</v>
      </c>
      <c r="L810">
        <v>21678.38</v>
      </c>
      <c r="M810">
        <v>2.68</v>
      </c>
      <c r="N810">
        <v>9.17</v>
      </c>
      <c r="O810">
        <v>0.56999999999999995</v>
      </c>
      <c r="P810">
        <v>6.2</v>
      </c>
      <c r="Q810">
        <v>3.97</v>
      </c>
      <c r="R810">
        <v>296.66000000000003</v>
      </c>
    </row>
    <row r="811" spans="1:18" x14ac:dyDescent="0.3">
      <c r="A811" t="s">
        <v>1650</v>
      </c>
      <c r="B811" t="s">
        <v>1651</v>
      </c>
      <c r="C811" t="s">
        <v>37</v>
      </c>
      <c r="D811" t="s">
        <v>57</v>
      </c>
      <c r="E811" t="s">
        <v>38</v>
      </c>
      <c r="F811" s="1">
        <v>45385</v>
      </c>
      <c r="G811" s="1">
        <v>45408</v>
      </c>
      <c r="H811">
        <v>184835</v>
      </c>
      <c r="I811">
        <v>8409</v>
      </c>
      <c r="J811">
        <v>1496</v>
      </c>
      <c r="K811">
        <v>2938.01</v>
      </c>
      <c r="L811">
        <v>9648.67</v>
      </c>
      <c r="M811">
        <v>4.55</v>
      </c>
      <c r="N811">
        <v>17.8</v>
      </c>
      <c r="O811">
        <v>0.35</v>
      </c>
      <c r="P811">
        <v>1.96</v>
      </c>
      <c r="Q811">
        <v>3.28</v>
      </c>
      <c r="R811">
        <v>228.41</v>
      </c>
    </row>
    <row r="812" spans="1:18" x14ac:dyDescent="0.3">
      <c r="A812" t="s">
        <v>1652</v>
      </c>
      <c r="B812" t="s">
        <v>1653</v>
      </c>
      <c r="C812" t="s">
        <v>20</v>
      </c>
      <c r="D812" t="s">
        <v>34</v>
      </c>
      <c r="E812" t="s">
        <v>22</v>
      </c>
      <c r="F812" s="1">
        <v>45321</v>
      </c>
      <c r="G812" s="1">
        <v>45347</v>
      </c>
      <c r="H812">
        <v>263530</v>
      </c>
      <c r="I812">
        <v>13729</v>
      </c>
      <c r="J812">
        <v>597</v>
      </c>
      <c r="K812">
        <v>24222.47</v>
      </c>
      <c r="L812">
        <v>68224.05</v>
      </c>
      <c r="M812">
        <v>5.21</v>
      </c>
      <c r="N812">
        <v>4.3499999999999996</v>
      </c>
      <c r="O812">
        <v>1.76</v>
      </c>
      <c r="P812">
        <v>40.57</v>
      </c>
      <c r="Q812">
        <v>2.82</v>
      </c>
      <c r="R812">
        <v>181.66</v>
      </c>
    </row>
    <row r="813" spans="1:18" x14ac:dyDescent="0.3">
      <c r="A813" t="s">
        <v>1654</v>
      </c>
      <c r="B813" t="s">
        <v>1655</v>
      </c>
      <c r="C813" t="s">
        <v>25</v>
      </c>
      <c r="D813" t="s">
        <v>21</v>
      </c>
      <c r="E813" t="s">
        <v>22</v>
      </c>
      <c r="F813" s="1">
        <v>45353</v>
      </c>
      <c r="G813" s="1">
        <v>45363</v>
      </c>
      <c r="H813">
        <v>124690</v>
      </c>
      <c r="I813">
        <v>1870</v>
      </c>
      <c r="J813">
        <v>135</v>
      </c>
      <c r="K813">
        <v>10008.209999999999</v>
      </c>
      <c r="L813">
        <v>57295.360000000001</v>
      </c>
      <c r="M813">
        <v>1.5</v>
      </c>
      <c r="N813">
        <v>7.27</v>
      </c>
      <c r="O813">
        <v>5.35</v>
      </c>
      <c r="P813">
        <v>74.13</v>
      </c>
      <c r="Q813">
        <v>5.72</v>
      </c>
      <c r="R813">
        <v>472.48</v>
      </c>
    </row>
    <row r="814" spans="1:18" x14ac:dyDescent="0.3">
      <c r="A814" t="s">
        <v>1656</v>
      </c>
      <c r="B814" t="s">
        <v>1657</v>
      </c>
      <c r="C814" t="s">
        <v>29</v>
      </c>
      <c r="D814" t="s">
        <v>34</v>
      </c>
      <c r="E814" t="s">
        <v>31</v>
      </c>
      <c r="F814" s="1">
        <v>45429</v>
      </c>
      <c r="G814" s="1">
        <v>45439</v>
      </c>
      <c r="H814">
        <v>357248</v>
      </c>
      <c r="I814">
        <v>7895</v>
      </c>
      <c r="J814">
        <v>358</v>
      </c>
      <c r="K814">
        <v>10566.32</v>
      </c>
      <c r="L814">
        <v>66273.09</v>
      </c>
      <c r="M814">
        <v>2.21</v>
      </c>
      <c r="N814">
        <v>4.54</v>
      </c>
      <c r="O814">
        <v>1.34</v>
      </c>
      <c r="P814">
        <v>29.51</v>
      </c>
      <c r="Q814">
        <v>6.27</v>
      </c>
      <c r="R814">
        <v>527.21</v>
      </c>
    </row>
    <row r="815" spans="1:18" x14ac:dyDescent="0.3">
      <c r="A815" t="s">
        <v>1658</v>
      </c>
      <c r="B815" t="s">
        <v>1659</v>
      </c>
      <c r="C815" t="s">
        <v>44</v>
      </c>
      <c r="D815" t="s">
        <v>30</v>
      </c>
      <c r="E815" t="s">
        <v>31</v>
      </c>
      <c r="F815" s="1">
        <v>45301</v>
      </c>
      <c r="G815" s="1">
        <v>45325</v>
      </c>
      <c r="H815">
        <v>263425</v>
      </c>
      <c r="I815">
        <v>3608</v>
      </c>
      <c r="J815">
        <v>57</v>
      </c>
      <c r="K815">
        <v>10419.27</v>
      </c>
      <c r="L815">
        <v>63680.58</v>
      </c>
      <c r="M815">
        <v>1.37</v>
      </c>
      <c r="N815">
        <v>1.6</v>
      </c>
      <c r="O815">
        <v>2.89</v>
      </c>
      <c r="P815">
        <v>182.79</v>
      </c>
      <c r="Q815">
        <v>6.11</v>
      </c>
      <c r="R815">
        <v>511.18</v>
      </c>
    </row>
    <row r="816" spans="1:18" x14ac:dyDescent="0.3">
      <c r="A816" t="s">
        <v>1660</v>
      </c>
      <c r="B816" t="s">
        <v>1661</v>
      </c>
      <c r="C816" t="s">
        <v>37</v>
      </c>
      <c r="D816" t="s">
        <v>21</v>
      </c>
      <c r="E816" t="s">
        <v>41</v>
      </c>
      <c r="F816" s="1">
        <v>45334</v>
      </c>
      <c r="G816" s="1">
        <v>45373</v>
      </c>
      <c r="H816">
        <v>450020</v>
      </c>
      <c r="I816">
        <v>32986</v>
      </c>
      <c r="J816">
        <v>5228</v>
      </c>
      <c r="K816">
        <v>1870.76</v>
      </c>
      <c r="L816">
        <v>7165.68</v>
      </c>
      <c r="M816">
        <v>7.33</v>
      </c>
      <c r="N816">
        <v>15.85</v>
      </c>
      <c r="O816">
        <v>0.06</v>
      </c>
      <c r="P816">
        <v>0.36</v>
      </c>
      <c r="Q816">
        <v>3.83</v>
      </c>
      <c r="R816">
        <v>283.04000000000002</v>
      </c>
    </row>
    <row r="817" spans="1:18" x14ac:dyDescent="0.3">
      <c r="A817" t="s">
        <v>1662</v>
      </c>
      <c r="B817" t="s">
        <v>1663</v>
      </c>
      <c r="C817" t="s">
        <v>29</v>
      </c>
      <c r="D817" t="s">
        <v>34</v>
      </c>
      <c r="E817" t="s">
        <v>22</v>
      </c>
      <c r="F817" s="1">
        <v>45576</v>
      </c>
      <c r="G817" s="1">
        <v>45611</v>
      </c>
      <c r="H817">
        <v>333346</v>
      </c>
      <c r="I817">
        <v>14867</v>
      </c>
      <c r="J817">
        <v>878</v>
      </c>
      <c r="K817">
        <v>11063.03</v>
      </c>
      <c r="L817">
        <v>43222</v>
      </c>
      <c r="M817">
        <v>4.46</v>
      </c>
      <c r="N817">
        <v>5.91</v>
      </c>
      <c r="O817">
        <v>0.74</v>
      </c>
      <c r="P817">
        <v>12.6</v>
      </c>
      <c r="Q817">
        <v>3.91</v>
      </c>
      <c r="R817">
        <v>290.69</v>
      </c>
    </row>
    <row r="818" spans="1:18" x14ac:dyDescent="0.3">
      <c r="A818" t="s">
        <v>1664</v>
      </c>
      <c r="B818" t="s">
        <v>1665</v>
      </c>
      <c r="C818" t="s">
        <v>20</v>
      </c>
      <c r="D818" t="s">
        <v>21</v>
      </c>
      <c r="E818" t="s">
        <v>38</v>
      </c>
      <c r="F818" s="1">
        <v>45538</v>
      </c>
      <c r="G818" s="1">
        <v>45562</v>
      </c>
      <c r="H818">
        <v>484829</v>
      </c>
      <c r="I818">
        <v>24144</v>
      </c>
      <c r="J818">
        <v>1912</v>
      </c>
      <c r="K818">
        <v>8347.6299999999992</v>
      </c>
      <c r="L818">
        <v>18955.7</v>
      </c>
      <c r="M818">
        <v>4.9800000000000004</v>
      </c>
      <c r="N818">
        <v>7.92</v>
      </c>
      <c r="O818">
        <v>0.35</v>
      </c>
      <c r="P818">
        <v>4.37</v>
      </c>
      <c r="Q818">
        <v>2.27</v>
      </c>
      <c r="R818">
        <v>127.08</v>
      </c>
    </row>
    <row r="819" spans="1:18" x14ac:dyDescent="0.3">
      <c r="A819" t="s">
        <v>1666</v>
      </c>
      <c r="B819" t="s">
        <v>1667</v>
      </c>
      <c r="C819" t="s">
        <v>37</v>
      </c>
      <c r="D819" t="s">
        <v>57</v>
      </c>
      <c r="E819" t="s">
        <v>38</v>
      </c>
      <c r="F819" s="1">
        <v>45374</v>
      </c>
      <c r="G819" s="1">
        <v>45415</v>
      </c>
      <c r="H819">
        <v>234244</v>
      </c>
      <c r="I819">
        <v>21199</v>
      </c>
      <c r="J819">
        <v>2147</v>
      </c>
      <c r="K819">
        <v>4283.08</v>
      </c>
      <c r="L819">
        <v>13988.11</v>
      </c>
      <c r="M819">
        <v>9.0500000000000007</v>
      </c>
      <c r="N819">
        <v>10.130000000000001</v>
      </c>
      <c r="O819">
        <v>0.2</v>
      </c>
      <c r="P819">
        <v>1.99</v>
      </c>
      <c r="Q819">
        <v>3.27</v>
      </c>
      <c r="R819">
        <v>226.59</v>
      </c>
    </row>
    <row r="820" spans="1:18" x14ac:dyDescent="0.3">
      <c r="A820" t="s">
        <v>1668</v>
      </c>
      <c r="B820" t="s">
        <v>1669</v>
      </c>
      <c r="C820" t="s">
        <v>37</v>
      </c>
      <c r="D820" t="s">
        <v>21</v>
      </c>
      <c r="E820" t="s">
        <v>22</v>
      </c>
      <c r="F820" s="1">
        <v>45435</v>
      </c>
      <c r="G820" s="1">
        <v>45469</v>
      </c>
      <c r="H820">
        <v>97036</v>
      </c>
      <c r="I820">
        <v>6181</v>
      </c>
      <c r="J820">
        <v>570</v>
      </c>
      <c r="K820">
        <v>1128.43</v>
      </c>
      <c r="L820">
        <v>5082.62</v>
      </c>
      <c r="M820">
        <v>6.37</v>
      </c>
      <c r="N820">
        <v>9.23</v>
      </c>
      <c r="O820">
        <v>0.18</v>
      </c>
      <c r="P820">
        <v>1.98</v>
      </c>
      <c r="Q820">
        <v>4.5</v>
      </c>
      <c r="R820">
        <v>350.42</v>
      </c>
    </row>
    <row r="821" spans="1:18" x14ac:dyDescent="0.3">
      <c r="A821" t="s">
        <v>1670</v>
      </c>
      <c r="B821" t="s">
        <v>1671</v>
      </c>
      <c r="C821" t="s">
        <v>29</v>
      </c>
      <c r="D821" t="s">
        <v>57</v>
      </c>
      <c r="E821" t="s">
        <v>22</v>
      </c>
      <c r="F821" s="1">
        <v>45456</v>
      </c>
      <c r="G821" s="1">
        <v>45484</v>
      </c>
      <c r="H821">
        <v>383011</v>
      </c>
      <c r="I821">
        <v>8732</v>
      </c>
      <c r="J821">
        <v>502</v>
      </c>
      <c r="K821">
        <v>9790.77</v>
      </c>
      <c r="L821">
        <v>30416.76</v>
      </c>
      <c r="M821">
        <v>2.2799999999999998</v>
      </c>
      <c r="N821">
        <v>5.76</v>
      </c>
      <c r="O821">
        <v>1.1200000000000001</v>
      </c>
      <c r="P821">
        <v>19.5</v>
      </c>
      <c r="Q821">
        <v>3.11</v>
      </c>
      <c r="R821">
        <v>210.67</v>
      </c>
    </row>
    <row r="822" spans="1:18" x14ac:dyDescent="0.3">
      <c r="A822" t="s">
        <v>1672</v>
      </c>
      <c r="B822" t="s">
        <v>1673</v>
      </c>
      <c r="C822" t="s">
        <v>29</v>
      </c>
      <c r="D822" t="s">
        <v>30</v>
      </c>
      <c r="E822" t="s">
        <v>31</v>
      </c>
      <c r="F822" s="1">
        <v>45535</v>
      </c>
      <c r="G822" s="1">
        <v>45542</v>
      </c>
      <c r="H822">
        <v>222206</v>
      </c>
      <c r="I822">
        <v>3444</v>
      </c>
      <c r="J822">
        <v>188</v>
      </c>
      <c r="K822">
        <v>12696.65</v>
      </c>
      <c r="L822">
        <v>25510.28</v>
      </c>
      <c r="M822">
        <v>1.55</v>
      </c>
      <c r="N822">
        <v>5.46</v>
      </c>
      <c r="O822">
        <v>3.69</v>
      </c>
      <c r="P822">
        <v>67.540000000000006</v>
      </c>
      <c r="Q822">
        <v>2.0099999999999998</v>
      </c>
      <c r="R822">
        <v>100.92</v>
      </c>
    </row>
    <row r="823" spans="1:18" x14ac:dyDescent="0.3">
      <c r="A823" t="s">
        <v>1674</v>
      </c>
      <c r="B823" t="s">
        <v>1675</v>
      </c>
      <c r="C823" t="s">
        <v>20</v>
      </c>
      <c r="D823" t="s">
        <v>34</v>
      </c>
      <c r="E823" t="s">
        <v>38</v>
      </c>
      <c r="F823" s="1">
        <v>45331</v>
      </c>
      <c r="G823" s="1">
        <v>45372</v>
      </c>
      <c r="H823">
        <v>341394</v>
      </c>
      <c r="I823">
        <v>20756</v>
      </c>
      <c r="J823">
        <v>1706</v>
      </c>
      <c r="K823">
        <v>20249.3</v>
      </c>
      <c r="L823">
        <v>89534.13</v>
      </c>
      <c r="M823">
        <v>6.08</v>
      </c>
      <c r="N823">
        <v>8.2200000000000006</v>
      </c>
      <c r="O823">
        <v>0.98</v>
      </c>
      <c r="P823">
        <v>11.87</v>
      </c>
      <c r="Q823">
        <v>4.42</v>
      </c>
      <c r="R823">
        <v>342.16</v>
      </c>
    </row>
    <row r="824" spans="1:18" x14ac:dyDescent="0.3">
      <c r="A824" t="s">
        <v>1676</v>
      </c>
      <c r="B824" t="s">
        <v>1677</v>
      </c>
      <c r="C824" t="s">
        <v>20</v>
      </c>
      <c r="D824" t="s">
        <v>30</v>
      </c>
      <c r="E824" t="s">
        <v>26</v>
      </c>
      <c r="F824" s="1">
        <v>45296</v>
      </c>
      <c r="G824" s="1">
        <v>45310</v>
      </c>
      <c r="H824">
        <v>235070</v>
      </c>
      <c r="I824">
        <v>15020</v>
      </c>
      <c r="J824">
        <v>940</v>
      </c>
      <c r="K824">
        <v>17026.22</v>
      </c>
      <c r="L824">
        <v>63684.53</v>
      </c>
      <c r="M824">
        <v>6.39</v>
      </c>
      <c r="N824">
        <v>6.26</v>
      </c>
      <c r="O824">
        <v>1.1299999999999999</v>
      </c>
      <c r="P824">
        <v>18.11</v>
      </c>
      <c r="Q824">
        <v>3.74</v>
      </c>
      <c r="R824">
        <v>274.04000000000002</v>
      </c>
    </row>
    <row r="825" spans="1:18" x14ac:dyDescent="0.3">
      <c r="A825" t="s">
        <v>1678</v>
      </c>
      <c r="B825" t="s">
        <v>1679</v>
      </c>
      <c r="C825" t="s">
        <v>25</v>
      </c>
      <c r="D825" t="s">
        <v>57</v>
      </c>
      <c r="E825" t="s">
        <v>41</v>
      </c>
      <c r="F825" s="1">
        <v>45475</v>
      </c>
      <c r="G825" s="1">
        <v>45494</v>
      </c>
      <c r="H825">
        <v>283086</v>
      </c>
      <c r="I825">
        <v>2321</v>
      </c>
      <c r="J825">
        <v>236</v>
      </c>
      <c r="K825">
        <v>16134.74</v>
      </c>
      <c r="L825">
        <v>81682.03</v>
      </c>
      <c r="M825">
        <v>0.82</v>
      </c>
      <c r="N825">
        <v>10.199999999999999</v>
      </c>
      <c r="O825">
        <v>6.95</v>
      </c>
      <c r="P825">
        <v>68.37</v>
      </c>
      <c r="Q825">
        <v>5.0599999999999996</v>
      </c>
      <c r="R825">
        <v>406.25</v>
      </c>
    </row>
    <row r="826" spans="1:18" x14ac:dyDescent="0.3">
      <c r="A826" t="s">
        <v>1680</v>
      </c>
      <c r="B826" t="s">
        <v>1681</v>
      </c>
      <c r="C826" t="s">
        <v>20</v>
      </c>
      <c r="D826" t="s">
        <v>57</v>
      </c>
      <c r="E826" t="s">
        <v>41</v>
      </c>
      <c r="F826" s="1">
        <v>45602</v>
      </c>
      <c r="G826" s="1">
        <v>45622</v>
      </c>
      <c r="H826">
        <v>172818</v>
      </c>
      <c r="I826">
        <v>11094</v>
      </c>
      <c r="J826">
        <v>1087</v>
      </c>
      <c r="K826">
        <v>5735.92</v>
      </c>
      <c r="L826">
        <v>24192.79</v>
      </c>
      <c r="M826">
        <v>6.42</v>
      </c>
      <c r="N826">
        <v>9.8000000000000007</v>
      </c>
      <c r="O826">
        <v>0.52</v>
      </c>
      <c r="P826">
        <v>5.28</v>
      </c>
      <c r="Q826">
        <v>4.22</v>
      </c>
      <c r="R826">
        <v>321.77999999999997</v>
      </c>
    </row>
    <row r="827" spans="1:18" x14ac:dyDescent="0.3">
      <c r="A827" t="s">
        <v>1682</v>
      </c>
      <c r="B827" t="s">
        <v>1683</v>
      </c>
      <c r="C827" t="s">
        <v>20</v>
      </c>
      <c r="D827" t="s">
        <v>34</v>
      </c>
      <c r="E827" t="s">
        <v>38</v>
      </c>
      <c r="F827" s="1">
        <v>45581</v>
      </c>
      <c r="G827" s="1">
        <v>45626</v>
      </c>
      <c r="H827">
        <v>108167</v>
      </c>
      <c r="I827">
        <v>6468</v>
      </c>
      <c r="J827">
        <v>479</v>
      </c>
      <c r="K827">
        <v>14880.23</v>
      </c>
      <c r="L827">
        <v>66708.570000000007</v>
      </c>
      <c r="M827">
        <v>5.98</v>
      </c>
      <c r="N827">
        <v>7.41</v>
      </c>
      <c r="O827">
        <v>2.2999999999999998</v>
      </c>
      <c r="P827">
        <v>31.07</v>
      </c>
      <c r="Q827">
        <v>4.4800000000000004</v>
      </c>
      <c r="R827">
        <v>348.3</v>
      </c>
    </row>
    <row r="828" spans="1:18" x14ac:dyDescent="0.3">
      <c r="A828" t="s">
        <v>1684</v>
      </c>
      <c r="B828" t="s">
        <v>1685</v>
      </c>
      <c r="C828" t="s">
        <v>37</v>
      </c>
      <c r="D828" t="s">
        <v>34</v>
      </c>
      <c r="E828" t="s">
        <v>26</v>
      </c>
      <c r="F828" s="1">
        <v>45408</v>
      </c>
      <c r="G828" s="1">
        <v>45448</v>
      </c>
      <c r="H828">
        <v>358367</v>
      </c>
      <c r="I828">
        <v>17094</v>
      </c>
      <c r="J828">
        <v>1478</v>
      </c>
      <c r="K828">
        <v>1668.31</v>
      </c>
      <c r="L828">
        <v>7615.11</v>
      </c>
      <c r="M828">
        <v>4.7699999999999996</v>
      </c>
      <c r="N828">
        <v>8.65</v>
      </c>
      <c r="O828">
        <v>0.1</v>
      </c>
      <c r="P828">
        <v>1.1299999999999999</v>
      </c>
      <c r="Q828">
        <v>4.5599999999999996</v>
      </c>
      <c r="R828">
        <v>356.46</v>
      </c>
    </row>
    <row r="829" spans="1:18" x14ac:dyDescent="0.3">
      <c r="A829" t="s">
        <v>1686</v>
      </c>
      <c r="B829" t="s">
        <v>1687</v>
      </c>
      <c r="C829" t="s">
        <v>44</v>
      </c>
      <c r="D829" t="s">
        <v>34</v>
      </c>
      <c r="E829" t="s">
        <v>26</v>
      </c>
      <c r="F829" s="1">
        <v>45293</v>
      </c>
      <c r="G829" s="1">
        <v>45327</v>
      </c>
      <c r="H829">
        <v>413324</v>
      </c>
      <c r="I829">
        <v>12234</v>
      </c>
      <c r="J829">
        <v>446</v>
      </c>
      <c r="K829">
        <v>11008.5</v>
      </c>
      <c r="L829">
        <v>65764.320000000007</v>
      </c>
      <c r="M829">
        <v>2.96</v>
      </c>
      <c r="N829">
        <v>3.65</v>
      </c>
      <c r="O829">
        <v>0.9</v>
      </c>
      <c r="P829">
        <v>24.68</v>
      </c>
      <c r="Q829">
        <v>5.97</v>
      </c>
      <c r="R829">
        <v>497.4</v>
      </c>
    </row>
    <row r="830" spans="1:18" x14ac:dyDescent="0.3">
      <c r="A830" t="s">
        <v>1688</v>
      </c>
      <c r="B830" t="s">
        <v>1689</v>
      </c>
      <c r="C830" t="s">
        <v>20</v>
      </c>
      <c r="D830" t="s">
        <v>57</v>
      </c>
      <c r="E830" t="s">
        <v>38</v>
      </c>
      <c r="F830" s="1">
        <v>45477</v>
      </c>
      <c r="G830" s="1">
        <v>45517</v>
      </c>
      <c r="H830">
        <v>492678</v>
      </c>
      <c r="I830">
        <v>31925</v>
      </c>
      <c r="J830">
        <v>1800</v>
      </c>
      <c r="K830">
        <v>18603.47</v>
      </c>
      <c r="L830">
        <v>76267.53</v>
      </c>
      <c r="M830">
        <v>6.48</v>
      </c>
      <c r="N830">
        <v>5.64</v>
      </c>
      <c r="O830">
        <v>0.57999999999999996</v>
      </c>
      <c r="P830">
        <v>10.34</v>
      </c>
      <c r="Q830">
        <v>4.0999999999999996</v>
      </c>
      <c r="R830">
        <v>309.95999999999998</v>
      </c>
    </row>
    <row r="831" spans="1:18" x14ac:dyDescent="0.3">
      <c r="A831" t="s">
        <v>1690</v>
      </c>
      <c r="B831" t="s">
        <v>1691</v>
      </c>
      <c r="C831" t="s">
        <v>20</v>
      </c>
      <c r="D831" t="s">
        <v>34</v>
      </c>
      <c r="E831" t="s">
        <v>26</v>
      </c>
      <c r="F831" s="1">
        <v>45463</v>
      </c>
      <c r="G831" s="1">
        <v>45475</v>
      </c>
      <c r="H831">
        <v>195716</v>
      </c>
      <c r="I831">
        <v>12075</v>
      </c>
      <c r="J831">
        <v>868</v>
      </c>
      <c r="K831">
        <v>11324.84</v>
      </c>
      <c r="L831">
        <v>42619.51</v>
      </c>
      <c r="M831">
        <v>6.17</v>
      </c>
      <c r="N831">
        <v>7.19</v>
      </c>
      <c r="O831">
        <v>0.94</v>
      </c>
      <c r="P831">
        <v>13.05</v>
      </c>
      <c r="Q831">
        <v>3.76</v>
      </c>
      <c r="R831">
        <v>276.33999999999997</v>
      </c>
    </row>
    <row r="832" spans="1:18" x14ac:dyDescent="0.3">
      <c r="A832" t="s">
        <v>1692</v>
      </c>
      <c r="B832" t="s">
        <v>1693</v>
      </c>
      <c r="C832" t="s">
        <v>37</v>
      </c>
      <c r="D832" t="s">
        <v>21</v>
      </c>
      <c r="E832" t="s">
        <v>41</v>
      </c>
      <c r="F832" s="1">
        <v>45451</v>
      </c>
      <c r="G832" s="1">
        <v>45462</v>
      </c>
      <c r="H832">
        <v>411522</v>
      </c>
      <c r="I832">
        <v>26913</v>
      </c>
      <c r="J832">
        <v>2352</v>
      </c>
      <c r="K832">
        <v>1624.93</v>
      </c>
      <c r="L832">
        <v>4452.58</v>
      </c>
      <c r="M832">
        <v>6.54</v>
      </c>
      <c r="N832">
        <v>8.74</v>
      </c>
      <c r="O832">
        <v>0.06</v>
      </c>
      <c r="P832">
        <v>0.69</v>
      </c>
      <c r="Q832">
        <v>2.74</v>
      </c>
      <c r="R832">
        <v>174.02</v>
      </c>
    </row>
    <row r="833" spans="1:18" x14ac:dyDescent="0.3">
      <c r="A833" t="s">
        <v>1694</v>
      </c>
      <c r="B833" t="s">
        <v>1695</v>
      </c>
      <c r="C833" t="s">
        <v>20</v>
      </c>
      <c r="D833" t="s">
        <v>21</v>
      </c>
      <c r="E833" t="s">
        <v>38</v>
      </c>
      <c r="F833" s="1">
        <v>45420</v>
      </c>
      <c r="G833" s="1">
        <v>45442</v>
      </c>
      <c r="H833">
        <v>276465</v>
      </c>
      <c r="I833">
        <v>15841</v>
      </c>
      <c r="J833">
        <v>1197</v>
      </c>
      <c r="K833">
        <v>17525.939999999999</v>
      </c>
      <c r="L833">
        <v>61417.23</v>
      </c>
      <c r="M833">
        <v>5.73</v>
      </c>
      <c r="N833">
        <v>7.56</v>
      </c>
      <c r="O833">
        <v>1.1100000000000001</v>
      </c>
      <c r="P833">
        <v>14.64</v>
      </c>
      <c r="Q833">
        <v>3.5</v>
      </c>
      <c r="R833">
        <v>250.44</v>
      </c>
    </row>
    <row r="834" spans="1:18" x14ac:dyDescent="0.3">
      <c r="A834" t="s">
        <v>1696</v>
      </c>
      <c r="B834" t="s">
        <v>1697</v>
      </c>
      <c r="C834" t="s">
        <v>20</v>
      </c>
      <c r="D834" t="s">
        <v>30</v>
      </c>
      <c r="E834" t="s">
        <v>41</v>
      </c>
      <c r="F834" s="1">
        <v>45329</v>
      </c>
      <c r="G834" s="1">
        <v>45374</v>
      </c>
      <c r="H834">
        <v>228678</v>
      </c>
      <c r="I834">
        <v>13331</v>
      </c>
      <c r="J834">
        <v>1190</v>
      </c>
      <c r="K834">
        <v>15393.5</v>
      </c>
      <c r="L834">
        <v>47186.41</v>
      </c>
      <c r="M834">
        <v>5.83</v>
      </c>
      <c r="N834">
        <v>8.93</v>
      </c>
      <c r="O834">
        <v>1.1499999999999999</v>
      </c>
      <c r="P834">
        <v>12.94</v>
      </c>
      <c r="Q834">
        <v>3.07</v>
      </c>
      <c r="R834">
        <v>206.53</v>
      </c>
    </row>
    <row r="835" spans="1:18" x14ac:dyDescent="0.3">
      <c r="A835" t="s">
        <v>1698</v>
      </c>
      <c r="B835" t="s">
        <v>1699</v>
      </c>
      <c r="C835" t="s">
        <v>37</v>
      </c>
      <c r="D835" t="s">
        <v>30</v>
      </c>
      <c r="E835" t="s">
        <v>26</v>
      </c>
      <c r="F835" s="1">
        <v>45485</v>
      </c>
      <c r="G835" s="1">
        <v>45512</v>
      </c>
      <c r="H835">
        <v>377862</v>
      </c>
      <c r="I835">
        <v>25241</v>
      </c>
      <c r="J835">
        <v>2334</v>
      </c>
      <c r="K835">
        <v>4885.37</v>
      </c>
      <c r="L835">
        <v>29923.94</v>
      </c>
      <c r="M835">
        <v>6.68</v>
      </c>
      <c r="N835">
        <v>9.25</v>
      </c>
      <c r="O835">
        <v>0.19</v>
      </c>
      <c r="P835">
        <v>2.09</v>
      </c>
      <c r="Q835">
        <v>6.13</v>
      </c>
      <c r="R835">
        <v>512.52</v>
      </c>
    </row>
    <row r="836" spans="1:18" x14ac:dyDescent="0.3">
      <c r="A836" t="s">
        <v>1700</v>
      </c>
      <c r="B836" t="s">
        <v>1701</v>
      </c>
      <c r="C836" t="s">
        <v>20</v>
      </c>
      <c r="D836" t="s">
        <v>34</v>
      </c>
      <c r="E836" t="s">
        <v>26</v>
      </c>
      <c r="F836" s="1">
        <v>45320</v>
      </c>
      <c r="G836" s="1">
        <v>45362</v>
      </c>
      <c r="H836">
        <v>470681</v>
      </c>
      <c r="I836">
        <v>20098</v>
      </c>
      <c r="J836">
        <v>1167</v>
      </c>
      <c r="K836">
        <v>17523.7</v>
      </c>
      <c r="L836">
        <v>40235.4</v>
      </c>
      <c r="M836">
        <v>4.2699999999999996</v>
      </c>
      <c r="N836">
        <v>5.81</v>
      </c>
      <c r="O836">
        <v>0.87</v>
      </c>
      <c r="P836">
        <v>15.02</v>
      </c>
      <c r="Q836">
        <v>2.2999999999999998</v>
      </c>
      <c r="R836">
        <v>129.61000000000001</v>
      </c>
    </row>
    <row r="837" spans="1:18" x14ac:dyDescent="0.3">
      <c r="A837" t="s">
        <v>1702</v>
      </c>
      <c r="B837" t="s">
        <v>1703</v>
      </c>
      <c r="C837" t="s">
        <v>20</v>
      </c>
      <c r="D837" t="s">
        <v>57</v>
      </c>
      <c r="E837" t="s">
        <v>38</v>
      </c>
      <c r="F837" s="1">
        <v>45611</v>
      </c>
      <c r="G837" s="1">
        <v>45618</v>
      </c>
      <c r="H837">
        <v>260597</v>
      </c>
      <c r="I837">
        <v>7505</v>
      </c>
      <c r="J837">
        <v>638</v>
      </c>
      <c r="K837">
        <v>9662.24</v>
      </c>
      <c r="L837">
        <v>45394.09</v>
      </c>
      <c r="M837">
        <v>2.88</v>
      </c>
      <c r="N837">
        <v>8.51</v>
      </c>
      <c r="O837">
        <v>1.29</v>
      </c>
      <c r="P837">
        <v>15.14</v>
      </c>
      <c r="Q837">
        <v>4.7</v>
      </c>
      <c r="R837">
        <v>369.81</v>
      </c>
    </row>
    <row r="838" spans="1:18" x14ac:dyDescent="0.3">
      <c r="A838" t="s">
        <v>1704</v>
      </c>
      <c r="B838" t="s">
        <v>1705</v>
      </c>
      <c r="C838" t="s">
        <v>25</v>
      </c>
      <c r="D838" t="s">
        <v>30</v>
      </c>
      <c r="E838" t="s">
        <v>38</v>
      </c>
      <c r="F838" s="1">
        <v>45305</v>
      </c>
      <c r="G838" s="1">
        <v>45341</v>
      </c>
      <c r="H838">
        <v>466895</v>
      </c>
      <c r="I838">
        <v>7143</v>
      </c>
      <c r="J838">
        <v>667</v>
      </c>
      <c r="K838">
        <v>5620.45</v>
      </c>
      <c r="L838">
        <v>27704.02</v>
      </c>
      <c r="M838">
        <v>1.53</v>
      </c>
      <c r="N838">
        <v>9.34</v>
      </c>
      <c r="O838">
        <v>0.79</v>
      </c>
      <c r="P838">
        <v>8.43</v>
      </c>
      <c r="Q838">
        <v>4.93</v>
      </c>
      <c r="R838">
        <v>392.91</v>
      </c>
    </row>
    <row r="839" spans="1:18" x14ac:dyDescent="0.3">
      <c r="A839" t="s">
        <v>1706</v>
      </c>
      <c r="B839" t="s">
        <v>1707</v>
      </c>
      <c r="C839" t="s">
        <v>37</v>
      </c>
      <c r="D839" t="s">
        <v>57</v>
      </c>
      <c r="E839" t="s">
        <v>31</v>
      </c>
      <c r="F839" s="1">
        <v>45391</v>
      </c>
      <c r="G839" s="1">
        <v>45434</v>
      </c>
      <c r="H839">
        <v>150915</v>
      </c>
      <c r="I839">
        <v>7017</v>
      </c>
      <c r="J839">
        <v>569</v>
      </c>
      <c r="K839">
        <v>3709.85</v>
      </c>
      <c r="L839">
        <v>17317.54</v>
      </c>
      <c r="M839">
        <v>4.6500000000000004</v>
      </c>
      <c r="N839">
        <v>8.1199999999999992</v>
      </c>
      <c r="O839">
        <v>0.53</v>
      </c>
      <c r="P839">
        <v>6.52</v>
      </c>
      <c r="Q839">
        <v>4.67</v>
      </c>
      <c r="R839">
        <v>366.8</v>
      </c>
    </row>
    <row r="840" spans="1:18" x14ac:dyDescent="0.3">
      <c r="A840" t="s">
        <v>1708</v>
      </c>
      <c r="B840" t="s">
        <v>1709</v>
      </c>
      <c r="C840" t="s">
        <v>29</v>
      </c>
      <c r="D840" t="s">
        <v>57</v>
      </c>
      <c r="E840" t="s">
        <v>22</v>
      </c>
      <c r="F840" s="1">
        <v>45314</v>
      </c>
      <c r="G840" s="1">
        <v>45324</v>
      </c>
      <c r="H840">
        <v>270728</v>
      </c>
      <c r="I840">
        <v>7959</v>
      </c>
      <c r="J840">
        <v>405</v>
      </c>
      <c r="K840">
        <v>5788.85</v>
      </c>
      <c r="L840">
        <v>15164.05</v>
      </c>
      <c r="M840">
        <v>2.94</v>
      </c>
      <c r="N840">
        <v>5.0999999999999996</v>
      </c>
      <c r="O840">
        <v>0.73</v>
      </c>
      <c r="P840">
        <v>14.29</v>
      </c>
      <c r="Q840">
        <v>2.62</v>
      </c>
      <c r="R840">
        <v>161.94999999999999</v>
      </c>
    </row>
    <row r="841" spans="1:18" x14ac:dyDescent="0.3">
      <c r="A841" t="s">
        <v>1710</v>
      </c>
      <c r="B841" t="s">
        <v>1711</v>
      </c>
      <c r="C841" t="s">
        <v>29</v>
      </c>
      <c r="D841" t="s">
        <v>57</v>
      </c>
      <c r="E841" t="s">
        <v>31</v>
      </c>
      <c r="F841" s="1">
        <v>45569</v>
      </c>
      <c r="G841" s="1">
        <v>45585</v>
      </c>
      <c r="H841">
        <v>278509</v>
      </c>
      <c r="I841">
        <v>8466</v>
      </c>
      <c r="J841">
        <v>445</v>
      </c>
      <c r="K841">
        <v>8366.15</v>
      </c>
      <c r="L841">
        <v>38705.96</v>
      </c>
      <c r="M841">
        <v>3.04</v>
      </c>
      <c r="N841">
        <v>5.26</v>
      </c>
      <c r="O841">
        <v>0.99</v>
      </c>
      <c r="P841">
        <v>18.8</v>
      </c>
      <c r="Q841">
        <v>4.63</v>
      </c>
      <c r="R841">
        <v>362.65</v>
      </c>
    </row>
    <row r="842" spans="1:18" x14ac:dyDescent="0.3">
      <c r="A842" t="s">
        <v>1712</v>
      </c>
      <c r="B842" t="s">
        <v>1713</v>
      </c>
      <c r="C842" t="s">
        <v>29</v>
      </c>
      <c r="D842" t="s">
        <v>30</v>
      </c>
      <c r="E842" t="s">
        <v>22</v>
      </c>
      <c r="F842" s="1">
        <v>45366</v>
      </c>
      <c r="G842" s="1">
        <v>45376</v>
      </c>
      <c r="H842">
        <v>366318</v>
      </c>
      <c r="I842">
        <v>9267</v>
      </c>
      <c r="J842">
        <v>355</v>
      </c>
      <c r="K842">
        <v>3121.23</v>
      </c>
      <c r="L842">
        <v>14479.32</v>
      </c>
      <c r="M842">
        <v>2.5299999999999998</v>
      </c>
      <c r="N842">
        <v>3.84</v>
      </c>
      <c r="O842">
        <v>0.34</v>
      </c>
      <c r="P842">
        <v>8.7899999999999991</v>
      </c>
      <c r="Q842">
        <v>4.6399999999999997</v>
      </c>
      <c r="R842">
        <v>363.9</v>
      </c>
    </row>
    <row r="843" spans="1:18" x14ac:dyDescent="0.3">
      <c r="A843" t="s">
        <v>1714</v>
      </c>
      <c r="B843" t="s">
        <v>1715</v>
      </c>
      <c r="C843" t="s">
        <v>29</v>
      </c>
      <c r="D843" t="s">
        <v>21</v>
      </c>
      <c r="E843" t="s">
        <v>38</v>
      </c>
      <c r="F843" s="1">
        <v>45466</v>
      </c>
      <c r="G843" s="1">
        <v>45485</v>
      </c>
      <c r="H843">
        <v>230258</v>
      </c>
      <c r="I843">
        <v>4812</v>
      </c>
      <c r="J843">
        <v>144</v>
      </c>
      <c r="K843">
        <v>16627.5</v>
      </c>
      <c r="L843">
        <v>92011.38</v>
      </c>
      <c r="M843">
        <v>2.09</v>
      </c>
      <c r="N843">
        <v>3</v>
      </c>
      <c r="O843">
        <v>3.46</v>
      </c>
      <c r="P843">
        <v>115.47</v>
      </c>
      <c r="Q843">
        <v>5.53</v>
      </c>
      <c r="R843">
        <v>453.37</v>
      </c>
    </row>
    <row r="844" spans="1:18" x14ac:dyDescent="0.3">
      <c r="A844" t="s">
        <v>1716</v>
      </c>
      <c r="B844" t="s">
        <v>1717</v>
      </c>
      <c r="C844" t="s">
        <v>25</v>
      </c>
      <c r="D844" t="s">
        <v>30</v>
      </c>
      <c r="E844" t="s">
        <v>31</v>
      </c>
      <c r="F844" s="1">
        <v>45506</v>
      </c>
      <c r="G844" s="1">
        <v>45534</v>
      </c>
      <c r="H844">
        <v>413024</v>
      </c>
      <c r="I844">
        <v>5617</v>
      </c>
      <c r="J844">
        <v>508</v>
      </c>
      <c r="K844">
        <v>19409.04</v>
      </c>
      <c r="L844">
        <v>92628.95</v>
      </c>
      <c r="M844">
        <v>1.36</v>
      </c>
      <c r="N844">
        <v>9.0500000000000007</v>
      </c>
      <c r="O844">
        <v>3.46</v>
      </c>
      <c r="P844">
        <v>38.21</v>
      </c>
      <c r="Q844">
        <v>4.7699999999999996</v>
      </c>
      <c r="R844">
        <v>377.25</v>
      </c>
    </row>
    <row r="845" spans="1:18" x14ac:dyDescent="0.3">
      <c r="A845" t="s">
        <v>1718</v>
      </c>
      <c r="B845" t="s">
        <v>1719</v>
      </c>
      <c r="C845" t="s">
        <v>29</v>
      </c>
      <c r="D845" t="s">
        <v>21</v>
      </c>
      <c r="E845" t="s">
        <v>38</v>
      </c>
      <c r="F845" s="1">
        <v>45409</v>
      </c>
      <c r="G845" s="1">
        <v>45445</v>
      </c>
      <c r="H845">
        <v>463763</v>
      </c>
      <c r="I845">
        <v>19617</v>
      </c>
      <c r="J845">
        <v>878</v>
      </c>
      <c r="K845">
        <v>16799.3</v>
      </c>
      <c r="L845">
        <v>81887.38</v>
      </c>
      <c r="M845">
        <v>4.2300000000000004</v>
      </c>
      <c r="N845">
        <v>4.4800000000000004</v>
      </c>
      <c r="O845">
        <v>0.86</v>
      </c>
      <c r="P845">
        <v>19.13</v>
      </c>
      <c r="Q845">
        <v>4.87</v>
      </c>
      <c r="R845">
        <v>387.45</v>
      </c>
    </row>
    <row r="846" spans="1:18" x14ac:dyDescent="0.3">
      <c r="A846" t="s">
        <v>1720</v>
      </c>
      <c r="B846" t="s">
        <v>1721</v>
      </c>
      <c r="C846" t="s">
        <v>37</v>
      </c>
      <c r="D846" t="s">
        <v>34</v>
      </c>
      <c r="E846" t="s">
        <v>41</v>
      </c>
      <c r="F846" s="1">
        <v>45397</v>
      </c>
      <c r="G846" s="1">
        <v>45429</v>
      </c>
      <c r="H846">
        <v>302049</v>
      </c>
      <c r="I846">
        <v>25402</v>
      </c>
      <c r="J846">
        <v>4452</v>
      </c>
      <c r="K846">
        <v>1991.82</v>
      </c>
      <c r="L846">
        <v>10617.13</v>
      </c>
      <c r="M846">
        <v>8.41</v>
      </c>
      <c r="N846">
        <v>17.53</v>
      </c>
      <c r="O846">
        <v>0.08</v>
      </c>
      <c r="P846">
        <v>0.45</v>
      </c>
      <c r="Q846">
        <v>5.33</v>
      </c>
      <c r="R846">
        <v>433.04</v>
      </c>
    </row>
    <row r="847" spans="1:18" x14ac:dyDescent="0.3">
      <c r="A847" t="s">
        <v>1722</v>
      </c>
      <c r="B847" t="s">
        <v>1723</v>
      </c>
      <c r="C847" t="s">
        <v>29</v>
      </c>
      <c r="D847" t="s">
        <v>21</v>
      </c>
      <c r="E847" t="s">
        <v>22</v>
      </c>
      <c r="F847" s="1">
        <v>45391</v>
      </c>
      <c r="G847" s="1">
        <v>45435</v>
      </c>
      <c r="H847">
        <v>55186</v>
      </c>
      <c r="I847">
        <v>949</v>
      </c>
      <c r="J847">
        <v>20</v>
      </c>
      <c r="K847">
        <v>4727.84</v>
      </c>
      <c r="L847">
        <v>15637.77</v>
      </c>
      <c r="M847">
        <v>1.72</v>
      </c>
      <c r="N847">
        <v>2.15</v>
      </c>
      <c r="O847">
        <v>4.9800000000000004</v>
      </c>
      <c r="P847">
        <v>236.39</v>
      </c>
      <c r="Q847">
        <v>3.31</v>
      </c>
      <c r="R847">
        <v>230.76</v>
      </c>
    </row>
    <row r="848" spans="1:18" x14ac:dyDescent="0.3">
      <c r="A848" t="s">
        <v>1724</v>
      </c>
      <c r="B848" t="s">
        <v>1725</v>
      </c>
      <c r="C848" t="s">
        <v>44</v>
      </c>
      <c r="D848" t="s">
        <v>21</v>
      </c>
      <c r="E848" t="s">
        <v>26</v>
      </c>
      <c r="F848" s="1">
        <v>45465</v>
      </c>
      <c r="G848" s="1">
        <v>45507</v>
      </c>
      <c r="H848">
        <v>154397</v>
      </c>
      <c r="I848">
        <v>2640</v>
      </c>
      <c r="J848">
        <v>55</v>
      </c>
      <c r="K848">
        <v>13567.28</v>
      </c>
      <c r="L848">
        <v>71021.52</v>
      </c>
      <c r="M848">
        <v>1.71</v>
      </c>
      <c r="N848">
        <v>2.11</v>
      </c>
      <c r="O848">
        <v>5.14</v>
      </c>
      <c r="P848">
        <v>246.68</v>
      </c>
      <c r="Q848">
        <v>5.23</v>
      </c>
      <c r="R848">
        <v>423.48</v>
      </c>
    </row>
    <row r="849" spans="1:18" x14ac:dyDescent="0.3">
      <c r="A849" t="s">
        <v>1726</v>
      </c>
      <c r="B849" t="s">
        <v>1727</v>
      </c>
      <c r="C849" t="s">
        <v>29</v>
      </c>
      <c r="D849" t="s">
        <v>34</v>
      </c>
      <c r="E849" t="s">
        <v>41</v>
      </c>
      <c r="F849" s="1">
        <v>45362</v>
      </c>
      <c r="G849" s="1">
        <v>45393</v>
      </c>
      <c r="H849">
        <v>61268</v>
      </c>
      <c r="I849">
        <v>1243</v>
      </c>
      <c r="J849">
        <v>41</v>
      </c>
      <c r="K849">
        <v>4517.8500000000004</v>
      </c>
      <c r="L849">
        <v>25939.26</v>
      </c>
      <c r="M849">
        <v>2.0299999999999998</v>
      </c>
      <c r="N849">
        <v>3.31</v>
      </c>
      <c r="O849">
        <v>3.63</v>
      </c>
      <c r="P849">
        <v>110.19</v>
      </c>
      <c r="Q849">
        <v>5.74</v>
      </c>
      <c r="R849">
        <v>474.15</v>
      </c>
    </row>
    <row r="850" spans="1:18" x14ac:dyDescent="0.3">
      <c r="A850" t="s">
        <v>1728</v>
      </c>
      <c r="B850" t="s">
        <v>1729</v>
      </c>
      <c r="C850" t="s">
        <v>20</v>
      </c>
      <c r="D850" t="s">
        <v>57</v>
      </c>
      <c r="E850" t="s">
        <v>41</v>
      </c>
      <c r="F850" s="1">
        <v>45561</v>
      </c>
      <c r="G850" s="1">
        <v>45595</v>
      </c>
      <c r="H850">
        <v>209945</v>
      </c>
      <c r="I850">
        <v>9069</v>
      </c>
      <c r="J850">
        <v>564</v>
      </c>
      <c r="K850">
        <v>12447.01</v>
      </c>
      <c r="L850">
        <v>34492.15</v>
      </c>
      <c r="M850">
        <v>4.32</v>
      </c>
      <c r="N850">
        <v>6.22</v>
      </c>
      <c r="O850">
        <v>1.37</v>
      </c>
      <c r="P850">
        <v>22.07</v>
      </c>
      <c r="Q850">
        <v>2.77</v>
      </c>
      <c r="R850">
        <v>177.11</v>
      </c>
    </row>
    <row r="851" spans="1:18" x14ac:dyDescent="0.3">
      <c r="A851" t="s">
        <v>1730</v>
      </c>
      <c r="B851" t="s">
        <v>1731</v>
      </c>
      <c r="C851" t="s">
        <v>20</v>
      </c>
      <c r="D851" t="s">
        <v>21</v>
      </c>
      <c r="E851" t="s">
        <v>41</v>
      </c>
      <c r="F851" s="1">
        <v>45598</v>
      </c>
      <c r="G851" s="1">
        <v>45632</v>
      </c>
      <c r="H851">
        <v>118574</v>
      </c>
      <c r="I851">
        <v>6735</v>
      </c>
      <c r="J851">
        <v>346</v>
      </c>
      <c r="K851">
        <v>12563.91</v>
      </c>
      <c r="L851">
        <v>46287.31</v>
      </c>
      <c r="M851">
        <v>5.68</v>
      </c>
      <c r="N851">
        <v>5.15</v>
      </c>
      <c r="O851">
        <v>1.87</v>
      </c>
      <c r="P851">
        <v>36.31</v>
      </c>
      <c r="Q851">
        <v>3.68</v>
      </c>
      <c r="R851">
        <v>268.41000000000003</v>
      </c>
    </row>
    <row r="852" spans="1:18" x14ac:dyDescent="0.3">
      <c r="A852" t="s">
        <v>1732</v>
      </c>
      <c r="B852" t="s">
        <v>1733</v>
      </c>
      <c r="C852" t="s">
        <v>29</v>
      </c>
      <c r="D852" t="s">
        <v>21</v>
      </c>
      <c r="E852" t="s">
        <v>31</v>
      </c>
      <c r="F852" s="1">
        <v>45319</v>
      </c>
      <c r="G852" s="1">
        <v>45343</v>
      </c>
      <c r="H852">
        <v>357927</v>
      </c>
      <c r="I852">
        <v>7409</v>
      </c>
      <c r="J852">
        <v>346</v>
      </c>
      <c r="K852">
        <v>14843.82</v>
      </c>
      <c r="L852">
        <v>51575.78</v>
      </c>
      <c r="M852">
        <v>2.0699999999999998</v>
      </c>
      <c r="N852">
        <v>4.68</v>
      </c>
      <c r="O852">
        <v>2</v>
      </c>
      <c r="P852">
        <v>42.9</v>
      </c>
      <c r="Q852">
        <v>3.47</v>
      </c>
      <c r="R852">
        <v>247.46</v>
      </c>
    </row>
    <row r="853" spans="1:18" x14ac:dyDescent="0.3">
      <c r="A853" t="s">
        <v>1734</v>
      </c>
      <c r="B853" t="s">
        <v>1735</v>
      </c>
      <c r="C853" t="s">
        <v>29</v>
      </c>
      <c r="D853" t="s">
        <v>30</v>
      </c>
      <c r="E853" t="s">
        <v>41</v>
      </c>
      <c r="F853" s="1">
        <v>45552</v>
      </c>
      <c r="G853" s="1">
        <v>45583</v>
      </c>
      <c r="H853">
        <v>431313</v>
      </c>
      <c r="I853">
        <v>7504</v>
      </c>
      <c r="J853">
        <v>326</v>
      </c>
      <c r="K853">
        <v>12952.53</v>
      </c>
      <c r="L853">
        <v>29686.28</v>
      </c>
      <c r="M853">
        <v>1.74</v>
      </c>
      <c r="N853">
        <v>4.3499999999999996</v>
      </c>
      <c r="O853">
        <v>1.73</v>
      </c>
      <c r="P853">
        <v>39.729999999999997</v>
      </c>
      <c r="Q853">
        <v>2.29</v>
      </c>
      <c r="R853">
        <v>129.19</v>
      </c>
    </row>
    <row r="854" spans="1:18" x14ac:dyDescent="0.3">
      <c r="A854" t="s">
        <v>1736</v>
      </c>
      <c r="B854" t="s">
        <v>1737</v>
      </c>
      <c r="C854" t="s">
        <v>37</v>
      </c>
      <c r="D854" t="s">
        <v>57</v>
      </c>
      <c r="E854" t="s">
        <v>38</v>
      </c>
      <c r="F854" s="1">
        <v>45545</v>
      </c>
      <c r="G854" s="1">
        <v>45582</v>
      </c>
      <c r="H854">
        <v>322049</v>
      </c>
      <c r="I854">
        <v>21867</v>
      </c>
      <c r="J854">
        <v>2453</v>
      </c>
      <c r="K854">
        <v>2182.4499999999998</v>
      </c>
      <c r="L854">
        <v>11185.7</v>
      </c>
      <c r="M854">
        <v>6.79</v>
      </c>
      <c r="N854">
        <v>11.22</v>
      </c>
      <c r="O854">
        <v>0.1</v>
      </c>
      <c r="P854">
        <v>0.89</v>
      </c>
      <c r="Q854">
        <v>5.13</v>
      </c>
      <c r="R854">
        <v>412.53</v>
      </c>
    </row>
    <row r="855" spans="1:18" x14ac:dyDescent="0.3">
      <c r="A855" t="s">
        <v>1738</v>
      </c>
      <c r="B855" t="s">
        <v>1739</v>
      </c>
      <c r="C855" t="s">
        <v>44</v>
      </c>
      <c r="D855" t="s">
        <v>30</v>
      </c>
      <c r="E855" t="s">
        <v>31</v>
      </c>
      <c r="F855" s="1">
        <v>45494</v>
      </c>
      <c r="G855" s="1">
        <v>45514</v>
      </c>
      <c r="H855">
        <v>390649</v>
      </c>
      <c r="I855">
        <v>5078</v>
      </c>
      <c r="J855">
        <v>115</v>
      </c>
      <c r="K855">
        <v>5037.51</v>
      </c>
      <c r="L855">
        <v>29642</v>
      </c>
      <c r="M855">
        <v>1.3</v>
      </c>
      <c r="N855">
        <v>2.27</v>
      </c>
      <c r="O855">
        <v>0.99</v>
      </c>
      <c r="P855">
        <v>43.8</v>
      </c>
      <c r="Q855">
        <v>5.88</v>
      </c>
      <c r="R855">
        <v>488.43</v>
      </c>
    </row>
    <row r="856" spans="1:18" x14ac:dyDescent="0.3">
      <c r="A856" t="s">
        <v>1740</v>
      </c>
      <c r="B856" t="s">
        <v>1741</v>
      </c>
      <c r="C856" t="s">
        <v>44</v>
      </c>
      <c r="D856" t="s">
        <v>30</v>
      </c>
      <c r="E856" t="s">
        <v>38</v>
      </c>
      <c r="F856" s="1">
        <v>45335</v>
      </c>
      <c r="G856" s="1">
        <v>45360</v>
      </c>
      <c r="H856">
        <v>349562</v>
      </c>
      <c r="I856">
        <v>5627</v>
      </c>
      <c r="J856">
        <v>250</v>
      </c>
      <c r="K856">
        <v>5681.62</v>
      </c>
      <c r="L856">
        <v>13530.3</v>
      </c>
      <c r="M856">
        <v>1.61</v>
      </c>
      <c r="N856">
        <v>4.45</v>
      </c>
      <c r="O856">
        <v>1.01</v>
      </c>
      <c r="P856">
        <v>22.73</v>
      </c>
      <c r="Q856">
        <v>2.38</v>
      </c>
      <c r="R856">
        <v>138.13999999999999</v>
      </c>
    </row>
    <row r="857" spans="1:18" x14ac:dyDescent="0.3">
      <c r="A857" t="s">
        <v>1742</v>
      </c>
      <c r="B857" t="s">
        <v>1743</v>
      </c>
      <c r="C857" t="s">
        <v>25</v>
      </c>
      <c r="D857" t="s">
        <v>57</v>
      </c>
      <c r="E857" t="s">
        <v>41</v>
      </c>
      <c r="F857" s="1">
        <v>45513</v>
      </c>
      <c r="G857" s="1">
        <v>45546</v>
      </c>
      <c r="H857">
        <v>356164</v>
      </c>
      <c r="I857">
        <v>3098</v>
      </c>
      <c r="J857">
        <v>266</v>
      </c>
      <c r="K857">
        <v>9381.98</v>
      </c>
      <c r="L857">
        <v>37811.07</v>
      </c>
      <c r="M857">
        <v>0.87</v>
      </c>
      <c r="N857">
        <v>8.59</v>
      </c>
      <c r="O857">
        <v>3.03</v>
      </c>
      <c r="P857">
        <v>35.270000000000003</v>
      </c>
      <c r="Q857">
        <v>4.03</v>
      </c>
      <c r="R857">
        <v>303.02</v>
      </c>
    </row>
    <row r="858" spans="1:18" x14ac:dyDescent="0.3">
      <c r="A858" t="s">
        <v>1744</v>
      </c>
      <c r="B858" t="s">
        <v>1745</v>
      </c>
      <c r="C858" t="s">
        <v>44</v>
      </c>
      <c r="D858" t="s">
        <v>30</v>
      </c>
      <c r="E858" t="s">
        <v>22</v>
      </c>
      <c r="F858" s="1">
        <v>45475</v>
      </c>
      <c r="G858" s="1">
        <v>45487</v>
      </c>
      <c r="H858">
        <v>193140</v>
      </c>
      <c r="I858">
        <v>4229</v>
      </c>
      <c r="J858">
        <v>90</v>
      </c>
      <c r="K858">
        <v>5422.38</v>
      </c>
      <c r="L858">
        <v>26591.88</v>
      </c>
      <c r="M858">
        <v>2.19</v>
      </c>
      <c r="N858">
        <v>2.13</v>
      </c>
      <c r="O858">
        <v>1.28</v>
      </c>
      <c r="P858">
        <v>60.25</v>
      </c>
      <c r="Q858">
        <v>4.9000000000000004</v>
      </c>
      <c r="R858">
        <v>390.41</v>
      </c>
    </row>
    <row r="859" spans="1:18" x14ac:dyDescent="0.3">
      <c r="A859" t="s">
        <v>1746</v>
      </c>
      <c r="B859" t="s">
        <v>1747</v>
      </c>
      <c r="C859" t="s">
        <v>44</v>
      </c>
      <c r="D859" t="s">
        <v>21</v>
      </c>
      <c r="E859" t="s">
        <v>22</v>
      </c>
      <c r="F859" s="1">
        <v>45392</v>
      </c>
      <c r="G859" s="1">
        <v>45420</v>
      </c>
      <c r="H859">
        <v>169402</v>
      </c>
      <c r="I859">
        <v>2473</v>
      </c>
      <c r="J859">
        <v>43</v>
      </c>
      <c r="K859">
        <v>2978.52</v>
      </c>
      <c r="L859">
        <v>8641.82</v>
      </c>
      <c r="M859">
        <v>1.46</v>
      </c>
      <c r="N859">
        <v>1.75</v>
      </c>
      <c r="O859">
        <v>1.2</v>
      </c>
      <c r="P859">
        <v>69.27</v>
      </c>
      <c r="Q859">
        <v>2.9</v>
      </c>
      <c r="R859">
        <v>190.14</v>
      </c>
    </row>
    <row r="860" spans="1:18" x14ac:dyDescent="0.3">
      <c r="A860" t="s">
        <v>1748</v>
      </c>
      <c r="B860" t="s">
        <v>1749</v>
      </c>
      <c r="C860" t="s">
        <v>44</v>
      </c>
      <c r="D860" t="s">
        <v>57</v>
      </c>
      <c r="E860" t="s">
        <v>22</v>
      </c>
      <c r="F860" s="1">
        <v>45570</v>
      </c>
      <c r="G860" s="1">
        <v>45593</v>
      </c>
      <c r="H860">
        <v>149951</v>
      </c>
      <c r="I860">
        <v>4543</v>
      </c>
      <c r="J860">
        <v>226</v>
      </c>
      <c r="K860">
        <v>14980.06</v>
      </c>
      <c r="L860">
        <v>80678.490000000005</v>
      </c>
      <c r="M860">
        <v>3.03</v>
      </c>
      <c r="N860">
        <v>4.99</v>
      </c>
      <c r="O860">
        <v>3.3</v>
      </c>
      <c r="P860">
        <v>66.28</v>
      </c>
      <c r="Q860">
        <v>5.39</v>
      </c>
      <c r="R860">
        <v>438.57</v>
      </c>
    </row>
    <row r="861" spans="1:18" x14ac:dyDescent="0.3">
      <c r="A861" t="s">
        <v>1750</v>
      </c>
      <c r="B861" t="s">
        <v>1751</v>
      </c>
      <c r="C861" t="s">
        <v>20</v>
      </c>
      <c r="D861" t="s">
        <v>57</v>
      </c>
      <c r="E861" t="s">
        <v>22</v>
      </c>
      <c r="F861" s="1">
        <v>45298</v>
      </c>
      <c r="G861" s="1">
        <v>45335</v>
      </c>
      <c r="H861">
        <v>481126</v>
      </c>
      <c r="I861">
        <v>18715</v>
      </c>
      <c r="J861">
        <v>1867</v>
      </c>
      <c r="K861">
        <v>23916.3</v>
      </c>
      <c r="L861">
        <v>136284.07</v>
      </c>
      <c r="M861">
        <v>3.89</v>
      </c>
      <c r="N861">
        <v>9.98</v>
      </c>
      <c r="O861">
        <v>1.28</v>
      </c>
      <c r="P861">
        <v>12.81</v>
      </c>
      <c r="Q861">
        <v>5.7</v>
      </c>
      <c r="R861">
        <v>469.84</v>
      </c>
    </row>
    <row r="862" spans="1:18" x14ac:dyDescent="0.3">
      <c r="A862" t="s">
        <v>1752</v>
      </c>
      <c r="B862" t="s">
        <v>1753</v>
      </c>
      <c r="C862" t="s">
        <v>37</v>
      </c>
      <c r="D862" t="s">
        <v>34</v>
      </c>
      <c r="E862" t="s">
        <v>38</v>
      </c>
      <c r="F862" s="1">
        <v>45574</v>
      </c>
      <c r="G862" s="1">
        <v>45610</v>
      </c>
      <c r="H862">
        <v>169316</v>
      </c>
      <c r="I862">
        <v>9075</v>
      </c>
      <c r="J862">
        <v>1405</v>
      </c>
      <c r="K862">
        <v>2634.97</v>
      </c>
      <c r="L862">
        <v>11386.27</v>
      </c>
      <c r="M862">
        <v>5.36</v>
      </c>
      <c r="N862">
        <v>15.49</v>
      </c>
      <c r="O862">
        <v>0.28999999999999998</v>
      </c>
      <c r="P862">
        <v>1.88</v>
      </c>
      <c r="Q862">
        <v>4.32</v>
      </c>
      <c r="R862">
        <v>332.12</v>
      </c>
    </row>
    <row r="863" spans="1:18" x14ac:dyDescent="0.3">
      <c r="A863" t="s">
        <v>1754</v>
      </c>
      <c r="B863" t="s">
        <v>1755</v>
      </c>
      <c r="C863" t="s">
        <v>25</v>
      </c>
      <c r="D863" t="s">
        <v>57</v>
      </c>
      <c r="E863" t="s">
        <v>26</v>
      </c>
      <c r="F863" s="1">
        <v>45516</v>
      </c>
      <c r="G863" s="1">
        <v>45551</v>
      </c>
      <c r="H863">
        <v>214141</v>
      </c>
      <c r="I863">
        <v>4796</v>
      </c>
      <c r="J863">
        <v>383</v>
      </c>
      <c r="K863">
        <v>19070.88</v>
      </c>
      <c r="L863">
        <v>73987.3</v>
      </c>
      <c r="M863">
        <v>2.2400000000000002</v>
      </c>
      <c r="N863">
        <v>8</v>
      </c>
      <c r="O863">
        <v>3.98</v>
      </c>
      <c r="P863">
        <v>49.79</v>
      </c>
      <c r="Q863">
        <v>3.88</v>
      </c>
      <c r="R863">
        <v>287.95999999999998</v>
      </c>
    </row>
    <row r="864" spans="1:18" x14ac:dyDescent="0.3">
      <c r="A864" t="s">
        <v>1756</v>
      </c>
      <c r="B864" t="s">
        <v>1757</v>
      </c>
      <c r="C864" t="s">
        <v>37</v>
      </c>
      <c r="D864" t="s">
        <v>21</v>
      </c>
      <c r="E864" t="s">
        <v>22</v>
      </c>
      <c r="F864" s="1">
        <v>45473</v>
      </c>
      <c r="G864" s="1">
        <v>45501</v>
      </c>
      <c r="H864">
        <v>122849</v>
      </c>
      <c r="I864">
        <v>9176</v>
      </c>
      <c r="J864">
        <v>851</v>
      </c>
      <c r="K864">
        <v>4745.09</v>
      </c>
      <c r="L864">
        <v>9696.9</v>
      </c>
      <c r="M864">
        <v>7.47</v>
      </c>
      <c r="N864">
        <v>9.2799999999999994</v>
      </c>
      <c r="O864">
        <v>0.52</v>
      </c>
      <c r="P864">
        <v>5.58</v>
      </c>
      <c r="Q864">
        <v>2.04</v>
      </c>
      <c r="R864">
        <v>104.36</v>
      </c>
    </row>
    <row r="865" spans="1:18" x14ac:dyDescent="0.3">
      <c r="A865" t="s">
        <v>1758</v>
      </c>
      <c r="B865" t="s">
        <v>1759</v>
      </c>
      <c r="C865" t="s">
        <v>29</v>
      </c>
      <c r="D865" t="s">
        <v>30</v>
      </c>
      <c r="E865" t="s">
        <v>38</v>
      </c>
      <c r="F865" s="1">
        <v>45592</v>
      </c>
      <c r="G865" s="1">
        <v>45600</v>
      </c>
      <c r="H865">
        <v>409537</v>
      </c>
      <c r="I865">
        <v>15398</v>
      </c>
      <c r="J865">
        <v>894</v>
      </c>
      <c r="K865">
        <v>13357.78</v>
      </c>
      <c r="L865">
        <v>44726.76</v>
      </c>
      <c r="M865">
        <v>3.76</v>
      </c>
      <c r="N865">
        <v>5.81</v>
      </c>
      <c r="O865">
        <v>0.87</v>
      </c>
      <c r="P865">
        <v>14.94</v>
      </c>
      <c r="Q865">
        <v>3.35</v>
      </c>
      <c r="R865">
        <v>234.84</v>
      </c>
    </row>
    <row r="866" spans="1:18" x14ac:dyDescent="0.3">
      <c r="A866" t="s">
        <v>1760</v>
      </c>
      <c r="B866" t="s">
        <v>1761</v>
      </c>
      <c r="C866" t="s">
        <v>37</v>
      </c>
      <c r="D866" t="s">
        <v>21</v>
      </c>
      <c r="E866" t="s">
        <v>41</v>
      </c>
      <c r="F866" s="1">
        <v>45603</v>
      </c>
      <c r="G866" s="1">
        <v>45646</v>
      </c>
      <c r="H866">
        <v>130578</v>
      </c>
      <c r="I866">
        <v>12874</v>
      </c>
      <c r="J866">
        <v>2309</v>
      </c>
      <c r="K866">
        <v>3056.86</v>
      </c>
      <c r="L866">
        <v>17106.669999999998</v>
      </c>
      <c r="M866">
        <v>9.86</v>
      </c>
      <c r="N866">
        <v>17.940000000000001</v>
      </c>
      <c r="O866">
        <v>0.24</v>
      </c>
      <c r="P866">
        <v>1.32</v>
      </c>
      <c r="Q866">
        <v>5.6</v>
      </c>
      <c r="R866">
        <v>459.62</v>
      </c>
    </row>
    <row r="867" spans="1:18" x14ac:dyDescent="0.3">
      <c r="A867" t="s">
        <v>1762</v>
      </c>
      <c r="B867" t="s">
        <v>1763</v>
      </c>
      <c r="C867" t="s">
        <v>25</v>
      </c>
      <c r="D867" t="s">
        <v>30</v>
      </c>
      <c r="E867" t="s">
        <v>41</v>
      </c>
      <c r="F867" s="1">
        <v>45523</v>
      </c>
      <c r="G867" s="1">
        <v>45549</v>
      </c>
      <c r="H867">
        <v>254805</v>
      </c>
      <c r="I867">
        <v>2318</v>
      </c>
      <c r="J867">
        <v>178</v>
      </c>
      <c r="K867">
        <v>11596.44</v>
      </c>
      <c r="L867">
        <v>40353.129999999997</v>
      </c>
      <c r="M867">
        <v>0.91</v>
      </c>
      <c r="N867">
        <v>7.71</v>
      </c>
      <c r="O867">
        <v>5</v>
      </c>
      <c r="P867">
        <v>65.150000000000006</v>
      </c>
      <c r="Q867">
        <v>3.48</v>
      </c>
      <c r="R867">
        <v>247.98</v>
      </c>
    </row>
    <row r="868" spans="1:18" x14ac:dyDescent="0.3">
      <c r="A868" t="s">
        <v>1764</v>
      </c>
      <c r="B868" t="s">
        <v>1765</v>
      </c>
      <c r="C868" t="s">
        <v>20</v>
      </c>
      <c r="D868" t="s">
        <v>34</v>
      </c>
      <c r="E868" t="s">
        <v>26</v>
      </c>
      <c r="F868" s="1">
        <v>45387</v>
      </c>
      <c r="G868" s="1">
        <v>45406</v>
      </c>
      <c r="H868">
        <v>403834</v>
      </c>
      <c r="I868">
        <v>19020</v>
      </c>
      <c r="J868">
        <v>796</v>
      </c>
      <c r="K868">
        <v>18780.490000000002</v>
      </c>
      <c r="L868">
        <v>78854.77</v>
      </c>
      <c r="M868">
        <v>4.71</v>
      </c>
      <c r="N868">
        <v>4.1900000000000004</v>
      </c>
      <c r="O868">
        <v>0.99</v>
      </c>
      <c r="P868">
        <v>23.59</v>
      </c>
      <c r="Q868">
        <v>4.2</v>
      </c>
      <c r="R868">
        <v>319.88</v>
      </c>
    </row>
    <row r="869" spans="1:18" x14ac:dyDescent="0.3">
      <c r="A869" t="s">
        <v>1766</v>
      </c>
      <c r="B869" t="s">
        <v>1767</v>
      </c>
      <c r="C869" t="s">
        <v>20</v>
      </c>
      <c r="D869" t="s">
        <v>30</v>
      </c>
      <c r="E869" t="s">
        <v>22</v>
      </c>
      <c r="F869" s="1">
        <v>45557</v>
      </c>
      <c r="G869" s="1">
        <v>45564</v>
      </c>
      <c r="H869">
        <v>157946</v>
      </c>
      <c r="I869">
        <v>5417</v>
      </c>
      <c r="J869">
        <v>431</v>
      </c>
      <c r="K869">
        <v>6399.59</v>
      </c>
      <c r="L869">
        <v>14453.73</v>
      </c>
      <c r="M869">
        <v>3.43</v>
      </c>
      <c r="N869">
        <v>7.96</v>
      </c>
      <c r="O869">
        <v>1.18</v>
      </c>
      <c r="P869">
        <v>14.85</v>
      </c>
      <c r="Q869">
        <v>2.2599999999999998</v>
      </c>
      <c r="R869">
        <v>125.85</v>
      </c>
    </row>
    <row r="870" spans="1:18" x14ac:dyDescent="0.3">
      <c r="A870" t="s">
        <v>1768</v>
      </c>
      <c r="B870" t="s">
        <v>1769</v>
      </c>
      <c r="C870" t="s">
        <v>29</v>
      </c>
      <c r="D870" t="s">
        <v>57</v>
      </c>
      <c r="E870" t="s">
        <v>38</v>
      </c>
      <c r="F870" s="1">
        <v>45327</v>
      </c>
      <c r="G870" s="1">
        <v>45358</v>
      </c>
      <c r="H870">
        <v>255051</v>
      </c>
      <c r="I870">
        <v>5024</v>
      </c>
      <c r="J870">
        <v>128</v>
      </c>
      <c r="K870">
        <v>11046.8</v>
      </c>
      <c r="L870">
        <v>45867.75</v>
      </c>
      <c r="M870">
        <v>1.97</v>
      </c>
      <c r="N870">
        <v>2.5499999999999998</v>
      </c>
      <c r="O870">
        <v>2.2000000000000002</v>
      </c>
      <c r="P870">
        <v>86.3</v>
      </c>
      <c r="Q870">
        <v>4.1500000000000004</v>
      </c>
      <c r="R870">
        <v>315.20999999999998</v>
      </c>
    </row>
    <row r="871" spans="1:18" x14ac:dyDescent="0.3">
      <c r="A871" t="s">
        <v>1770</v>
      </c>
      <c r="B871" t="s">
        <v>1771</v>
      </c>
      <c r="C871" t="s">
        <v>29</v>
      </c>
      <c r="D871" t="s">
        <v>34</v>
      </c>
      <c r="E871" t="s">
        <v>41</v>
      </c>
      <c r="F871" s="1">
        <v>45450</v>
      </c>
      <c r="G871" s="1">
        <v>45494</v>
      </c>
      <c r="H871">
        <v>212401</v>
      </c>
      <c r="I871">
        <v>5947</v>
      </c>
      <c r="J871">
        <v>330</v>
      </c>
      <c r="K871">
        <v>10121.700000000001</v>
      </c>
      <c r="L871">
        <v>47740.95</v>
      </c>
      <c r="M871">
        <v>2.8</v>
      </c>
      <c r="N871">
        <v>5.55</v>
      </c>
      <c r="O871">
        <v>1.7</v>
      </c>
      <c r="P871">
        <v>30.67</v>
      </c>
      <c r="Q871">
        <v>4.72</v>
      </c>
      <c r="R871">
        <v>371.67</v>
      </c>
    </row>
    <row r="872" spans="1:18" x14ac:dyDescent="0.3">
      <c r="A872" t="s">
        <v>1772</v>
      </c>
      <c r="B872" t="s">
        <v>1773</v>
      </c>
      <c r="C872" t="s">
        <v>29</v>
      </c>
      <c r="D872" t="s">
        <v>30</v>
      </c>
      <c r="E872" t="s">
        <v>22</v>
      </c>
      <c r="F872" s="1">
        <v>45418</v>
      </c>
      <c r="G872" s="1">
        <v>45458</v>
      </c>
      <c r="H872">
        <v>155750</v>
      </c>
      <c r="I872">
        <v>2367</v>
      </c>
      <c r="J872">
        <v>64</v>
      </c>
      <c r="K872">
        <v>3959.55</v>
      </c>
      <c r="L872">
        <v>15032.69</v>
      </c>
      <c r="M872">
        <v>1.52</v>
      </c>
      <c r="N872">
        <v>2.71</v>
      </c>
      <c r="O872">
        <v>1.67</v>
      </c>
      <c r="P872">
        <v>61.87</v>
      </c>
      <c r="Q872">
        <v>3.8</v>
      </c>
      <c r="R872">
        <v>279.66000000000003</v>
      </c>
    </row>
    <row r="873" spans="1:18" x14ac:dyDescent="0.3">
      <c r="A873" t="s">
        <v>1774</v>
      </c>
      <c r="B873" t="s">
        <v>1775</v>
      </c>
      <c r="C873" t="s">
        <v>44</v>
      </c>
      <c r="D873" t="s">
        <v>30</v>
      </c>
      <c r="E873" t="s">
        <v>38</v>
      </c>
      <c r="F873" s="1">
        <v>45525</v>
      </c>
      <c r="G873" s="1">
        <v>45554</v>
      </c>
      <c r="H873">
        <v>292585</v>
      </c>
      <c r="I873">
        <v>7899</v>
      </c>
      <c r="J873">
        <v>322</v>
      </c>
      <c r="K873">
        <v>6098.9</v>
      </c>
      <c r="L873">
        <v>36376.730000000003</v>
      </c>
      <c r="M873">
        <v>2.7</v>
      </c>
      <c r="N873">
        <v>4.08</v>
      </c>
      <c r="O873">
        <v>0.77</v>
      </c>
      <c r="P873">
        <v>18.940000000000001</v>
      </c>
      <c r="Q873">
        <v>5.96</v>
      </c>
      <c r="R873">
        <v>496.45</v>
      </c>
    </row>
    <row r="874" spans="1:18" x14ac:dyDescent="0.3">
      <c r="A874" t="s">
        <v>1776</v>
      </c>
      <c r="B874" t="s">
        <v>1777</v>
      </c>
      <c r="C874" t="s">
        <v>44</v>
      </c>
      <c r="D874" t="s">
        <v>30</v>
      </c>
      <c r="E874" t="s">
        <v>31</v>
      </c>
      <c r="F874" s="1">
        <v>45513</v>
      </c>
      <c r="G874" s="1">
        <v>45549</v>
      </c>
      <c r="H874">
        <v>481714</v>
      </c>
      <c r="I874">
        <v>15944</v>
      </c>
      <c r="J874">
        <v>336</v>
      </c>
      <c r="K874">
        <v>5614.19</v>
      </c>
      <c r="L874">
        <v>33964.959999999999</v>
      </c>
      <c r="M874">
        <v>3.31</v>
      </c>
      <c r="N874">
        <v>2.11</v>
      </c>
      <c r="O874">
        <v>0.35</v>
      </c>
      <c r="P874">
        <v>16.71</v>
      </c>
      <c r="Q874">
        <v>6.05</v>
      </c>
      <c r="R874">
        <v>504.98</v>
      </c>
    </row>
    <row r="875" spans="1:18" x14ac:dyDescent="0.3">
      <c r="A875" t="s">
        <v>1778</v>
      </c>
      <c r="B875" t="s">
        <v>1779</v>
      </c>
      <c r="C875" t="s">
        <v>25</v>
      </c>
      <c r="D875" t="s">
        <v>34</v>
      </c>
      <c r="E875" t="s">
        <v>31</v>
      </c>
      <c r="F875" s="1">
        <v>45432</v>
      </c>
      <c r="G875" s="1">
        <v>45473</v>
      </c>
      <c r="H875">
        <v>100087</v>
      </c>
      <c r="I875">
        <v>1471</v>
      </c>
      <c r="J875">
        <v>170</v>
      </c>
      <c r="K875">
        <v>7835.12</v>
      </c>
      <c r="L875">
        <v>46363.76</v>
      </c>
      <c r="M875">
        <v>1.47</v>
      </c>
      <c r="N875">
        <v>11.62</v>
      </c>
      <c r="O875">
        <v>5.33</v>
      </c>
      <c r="P875">
        <v>46.09</v>
      </c>
      <c r="Q875">
        <v>5.92</v>
      </c>
      <c r="R875">
        <v>491.74</v>
      </c>
    </row>
    <row r="876" spans="1:18" x14ac:dyDescent="0.3">
      <c r="A876" t="s">
        <v>1780</v>
      </c>
      <c r="B876" t="s">
        <v>1781</v>
      </c>
      <c r="C876" t="s">
        <v>44</v>
      </c>
      <c r="D876" t="s">
        <v>21</v>
      </c>
      <c r="E876" t="s">
        <v>41</v>
      </c>
      <c r="F876" s="1">
        <v>45345</v>
      </c>
      <c r="G876" s="1">
        <v>45384</v>
      </c>
      <c r="H876">
        <v>308729</v>
      </c>
      <c r="I876">
        <v>7008</v>
      </c>
      <c r="J876">
        <v>292</v>
      </c>
      <c r="K876">
        <v>4015.38</v>
      </c>
      <c r="L876">
        <v>14693.46</v>
      </c>
      <c r="M876">
        <v>2.27</v>
      </c>
      <c r="N876">
        <v>4.17</v>
      </c>
      <c r="O876">
        <v>0.56999999999999995</v>
      </c>
      <c r="P876">
        <v>13.75</v>
      </c>
      <c r="Q876">
        <v>3.66</v>
      </c>
      <c r="R876">
        <v>265.93</v>
      </c>
    </row>
    <row r="877" spans="1:18" x14ac:dyDescent="0.3">
      <c r="A877" t="s">
        <v>1782</v>
      </c>
      <c r="B877" t="s">
        <v>1783</v>
      </c>
      <c r="C877" t="s">
        <v>44</v>
      </c>
      <c r="D877" t="s">
        <v>30</v>
      </c>
      <c r="E877" t="s">
        <v>38</v>
      </c>
      <c r="F877" s="1">
        <v>45528</v>
      </c>
      <c r="G877" s="1">
        <v>45559</v>
      </c>
      <c r="H877">
        <v>136423</v>
      </c>
      <c r="I877">
        <v>2537</v>
      </c>
      <c r="J877">
        <v>82</v>
      </c>
      <c r="K877">
        <v>8277.09</v>
      </c>
      <c r="L877">
        <v>19280.490000000002</v>
      </c>
      <c r="M877">
        <v>1.86</v>
      </c>
      <c r="N877">
        <v>3.27</v>
      </c>
      <c r="O877">
        <v>3.26</v>
      </c>
      <c r="P877">
        <v>100.94</v>
      </c>
      <c r="Q877">
        <v>2.33</v>
      </c>
      <c r="R877">
        <v>132.94</v>
      </c>
    </row>
    <row r="878" spans="1:18" x14ac:dyDescent="0.3">
      <c r="A878" t="s">
        <v>1784</v>
      </c>
      <c r="B878" t="s">
        <v>1785</v>
      </c>
      <c r="C878" t="s">
        <v>44</v>
      </c>
      <c r="D878" t="s">
        <v>30</v>
      </c>
      <c r="E878" t="s">
        <v>41</v>
      </c>
      <c r="F878" s="1">
        <v>45529</v>
      </c>
      <c r="G878" s="1">
        <v>45567</v>
      </c>
      <c r="H878">
        <v>257971</v>
      </c>
      <c r="I878">
        <v>3353</v>
      </c>
      <c r="J878">
        <v>79</v>
      </c>
      <c r="K878">
        <v>11363.75</v>
      </c>
      <c r="L878">
        <v>29706.69</v>
      </c>
      <c r="M878">
        <v>1.3</v>
      </c>
      <c r="N878">
        <v>2.38</v>
      </c>
      <c r="O878">
        <v>3.39</v>
      </c>
      <c r="P878">
        <v>143.84</v>
      </c>
      <c r="Q878">
        <v>2.61</v>
      </c>
      <c r="R878">
        <v>161.41999999999999</v>
      </c>
    </row>
    <row r="879" spans="1:18" x14ac:dyDescent="0.3">
      <c r="A879" t="s">
        <v>1786</v>
      </c>
      <c r="B879" t="s">
        <v>1787</v>
      </c>
      <c r="C879" t="s">
        <v>25</v>
      </c>
      <c r="D879" t="s">
        <v>21</v>
      </c>
      <c r="E879" t="s">
        <v>26</v>
      </c>
      <c r="F879" s="1">
        <v>45434</v>
      </c>
      <c r="G879" s="1">
        <v>45451</v>
      </c>
      <c r="H879">
        <v>337534</v>
      </c>
      <c r="I879">
        <v>6480</v>
      </c>
      <c r="J879">
        <v>648</v>
      </c>
      <c r="K879">
        <v>11003.58</v>
      </c>
      <c r="L879">
        <v>45318.74</v>
      </c>
      <c r="M879">
        <v>1.92</v>
      </c>
      <c r="N879">
        <v>10</v>
      </c>
      <c r="O879">
        <v>1.7</v>
      </c>
      <c r="P879">
        <v>16.98</v>
      </c>
      <c r="Q879">
        <v>4.12</v>
      </c>
      <c r="R879">
        <v>311.85000000000002</v>
      </c>
    </row>
    <row r="880" spans="1:18" x14ac:dyDescent="0.3">
      <c r="A880" t="s">
        <v>1788</v>
      </c>
      <c r="B880" t="s">
        <v>1789</v>
      </c>
      <c r="C880" t="s">
        <v>29</v>
      </c>
      <c r="D880" t="s">
        <v>21</v>
      </c>
      <c r="E880" t="s">
        <v>31</v>
      </c>
      <c r="F880" s="1">
        <v>45297</v>
      </c>
      <c r="G880" s="1">
        <v>45321</v>
      </c>
      <c r="H880">
        <v>102698</v>
      </c>
      <c r="I880">
        <v>2084</v>
      </c>
      <c r="J880">
        <v>54</v>
      </c>
      <c r="K880">
        <v>14121.7</v>
      </c>
      <c r="L880">
        <v>38948.22</v>
      </c>
      <c r="M880">
        <v>2.0299999999999998</v>
      </c>
      <c r="N880">
        <v>2.62</v>
      </c>
      <c r="O880">
        <v>6.78</v>
      </c>
      <c r="P880">
        <v>261.51</v>
      </c>
      <c r="Q880">
        <v>2.76</v>
      </c>
      <c r="R880">
        <v>175.8</v>
      </c>
    </row>
    <row r="881" spans="1:18" x14ac:dyDescent="0.3">
      <c r="A881" t="s">
        <v>1790</v>
      </c>
      <c r="B881" t="s">
        <v>1791</v>
      </c>
      <c r="C881" t="s">
        <v>29</v>
      </c>
      <c r="D881" t="s">
        <v>30</v>
      </c>
      <c r="E881" t="s">
        <v>22</v>
      </c>
      <c r="F881" s="1">
        <v>45316</v>
      </c>
      <c r="G881" s="1">
        <v>45356</v>
      </c>
      <c r="H881">
        <v>143291</v>
      </c>
      <c r="I881">
        <v>3080</v>
      </c>
      <c r="J881">
        <v>66</v>
      </c>
      <c r="K881">
        <v>13125.66</v>
      </c>
      <c r="L881">
        <v>39019.300000000003</v>
      </c>
      <c r="M881">
        <v>2.15</v>
      </c>
      <c r="N881">
        <v>2.17</v>
      </c>
      <c r="O881">
        <v>4.26</v>
      </c>
      <c r="P881">
        <v>198.87</v>
      </c>
      <c r="Q881">
        <v>2.97</v>
      </c>
      <c r="R881">
        <v>197.27</v>
      </c>
    </row>
    <row r="882" spans="1:18" x14ac:dyDescent="0.3">
      <c r="A882" t="s">
        <v>1792</v>
      </c>
      <c r="B882" t="s">
        <v>1793</v>
      </c>
      <c r="C882" t="s">
        <v>20</v>
      </c>
      <c r="D882" t="s">
        <v>30</v>
      </c>
      <c r="E882" t="s">
        <v>22</v>
      </c>
      <c r="F882" s="1">
        <v>45419</v>
      </c>
      <c r="G882" s="1">
        <v>45449</v>
      </c>
      <c r="H882">
        <v>282776</v>
      </c>
      <c r="I882">
        <v>7663</v>
      </c>
      <c r="J882">
        <v>308</v>
      </c>
      <c r="K882">
        <v>20448.189999999999</v>
      </c>
      <c r="L882">
        <v>111483.82</v>
      </c>
      <c r="M882">
        <v>2.71</v>
      </c>
      <c r="N882">
        <v>4.03</v>
      </c>
      <c r="O882">
        <v>2.67</v>
      </c>
      <c r="P882">
        <v>66.39</v>
      </c>
      <c r="Q882">
        <v>5.45</v>
      </c>
      <c r="R882">
        <v>445.2</v>
      </c>
    </row>
    <row r="883" spans="1:18" x14ac:dyDescent="0.3">
      <c r="A883" t="s">
        <v>1794</v>
      </c>
      <c r="B883" t="s">
        <v>1795</v>
      </c>
      <c r="C883" t="s">
        <v>29</v>
      </c>
      <c r="D883" t="s">
        <v>34</v>
      </c>
      <c r="E883" t="s">
        <v>26</v>
      </c>
      <c r="F883" s="1">
        <v>45324</v>
      </c>
      <c r="G883" s="1">
        <v>45345</v>
      </c>
      <c r="H883">
        <v>58408</v>
      </c>
      <c r="I883">
        <v>1617</v>
      </c>
      <c r="J883">
        <v>112</v>
      </c>
      <c r="K883">
        <v>8056.75</v>
      </c>
      <c r="L883">
        <v>23080.04</v>
      </c>
      <c r="M883">
        <v>2.77</v>
      </c>
      <c r="N883">
        <v>6.95</v>
      </c>
      <c r="O883">
        <v>4.9800000000000004</v>
      </c>
      <c r="P883">
        <v>71.94</v>
      </c>
      <c r="Q883">
        <v>2.86</v>
      </c>
      <c r="R883">
        <v>186.47</v>
      </c>
    </row>
    <row r="884" spans="1:18" x14ac:dyDescent="0.3">
      <c r="A884" t="s">
        <v>1796</v>
      </c>
      <c r="B884" t="s">
        <v>1797</v>
      </c>
      <c r="C884" t="s">
        <v>20</v>
      </c>
      <c r="D884" t="s">
        <v>34</v>
      </c>
      <c r="E884" t="s">
        <v>41</v>
      </c>
      <c r="F884" s="1">
        <v>45389</v>
      </c>
      <c r="G884" s="1">
        <v>45409</v>
      </c>
      <c r="H884">
        <v>73075</v>
      </c>
      <c r="I884">
        <v>3039</v>
      </c>
      <c r="J884">
        <v>141</v>
      </c>
      <c r="K884">
        <v>11542.83</v>
      </c>
      <c r="L884">
        <v>52280.29</v>
      </c>
      <c r="M884">
        <v>4.16</v>
      </c>
      <c r="N884">
        <v>4.6500000000000004</v>
      </c>
      <c r="O884">
        <v>3.8</v>
      </c>
      <c r="P884">
        <v>81.86</v>
      </c>
      <c r="Q884">
        <v>4.53</v>
      </c>
      <c r="R884">
        <v>352.92</v>
      </c>
    </row>
    <row r="885" spans="1:18" x14ac:dyDescent="0.3">
      <c r="A885" t="s">
        <v>1798</v>
      </c>
      <c r="B885" t="s">
        <v>1799</v>
      </c>
      <c r="C885" t="s">
        <v>37</v>
      </c>
      <c r="D885" t="s">
        <v>30</v>
      </c>
      <c r="E885" t="s">
        <v>38</v>
      </c>
      <c r="F885" s="1">
        <v>45453</v>
      </c>
      <c r="G885" s="1">
        <v>45460</v>
      </c>
      <c r="H885">
        <v>113336</v>
      </c>
      <c r="I885">
        <v>6108</v>
      </c>
      <c r="J885">
        <v>553</v>
      </c>
      <c r="K885">
        <v>1955.16</v>
      </c>
      <c r="L885">
        <v>4042.25</v>
      </c>
      <c r="M885">
        <v>5.39</v>
      </c>
      <c r="N885">
        <v>9.06</v>
      </c>
      <c r="O885">
        <v>0.32</v>
      </c>
      <c r="P885">
        <v>3.54</v>
      </c>
      <c r="Q885">
        <v>2.0699999999999998</v>
      </c>
      <c r="R885">
        <v>106.75</v>
      </c>
    </row>
    <row r="886" spans="1:18" x14ac:dyDescent="0.3">
      <c r="A886" t="s">
        <v>1800</v>
      </c>
      <c r="B886" t="s">
        <v>1801</v>
      </c>
      <c r="C886" t="s">
        <v>25</v>
      </c>
      <c r="D886" t="s">
        <v>34</v>
      </c>
      <c r="E886" t="s">
        <v>38</v>
      </c>
      <c r="F886" s="1">
        <v>45326</v>
      </c>
      <c r="G886" s="1">
        <v>45346</v>
      </c>
      <c r="H886">
        <v>165393</v>
      </c>
      <c r="I886">
        <v>1505</v>
      </c>
      <c r="J886">
        <v>161</v>
      </c>
      <c r="K886">
        <v>14399.12</v>
      </c>
      <c r="L886">
        <v>52706.68</v>
      </c>
      <c r="M886">
        <v>0.91</v>
      </c>
      <c r="N886">
        <v>10.71</v>
      </c>
      <c r="O886">
        <v>9.57</v>
      </c>
      <c r="P886">
        <v>89.44</v>
      </c>
      <c r="Q886">
        <v>3.66</v>
      </c>
      <c r="R886">
        <v>266.04000000000002</v>
      </c>
    </row>
    <row r="887" spans="1:18" x14ac:dyDescent="0.3">
      <c r="A887" t="s">
        <v>1802</v>
      </c>
      <c r="B887" t="s">
        <v>1803</v>
      </c>
      <c r="C887" t="s">
        <v>25</v>
      </c>
      <c r="D887" t="s">
        <v>57</v>
      </c>
      <c r="E887" t="s">
        <v>31</v>
      </c>
      <c r="F887" s="1">
        <v>45583</v>
      </c>
      <c r="G887" s="1">
        <v>45600</v>
      </c>
      <c r="H887">
        <v>311921</v>
      </c>
      <c r="I887">
        <v>7704</v>
      </c>
      <c r="J887">
        <v>439</v>
      </c>
      <c r="K887">
        <v>12578.9</v>
      </c>
      <c r="L887">
        <v>81226.87</v>
      </c>
      <c r="M887">
        <v>2.4700000000000002</v>
      </c>
      <c r="N887">
        <v>5.71</v>
      </c>
      <c r="O887">
        <v>1.63</v>
      </c>
      <c r="P887">
        <v>28.65</v>
      </c>
      <c r="Q887">
        <v>6.46</v>
      </c>
      <c r="R887">
        <v>545.74</v>
      </c>
    </row>
    <row r="888" spans="1:18" x14ac:dyDescent="0.3">
      <c r="A888" t="s">
        <v>1804</v>
      </c>
      <c r="B888" t="s">
        <v>1805</v>
      </c>
      <c r="C888" t="s">
        <v>44</v>
      </c>
      <c r="D888" t="s">
        <v>21</v>
      </c>
      <c r="E888" t="s">
        <v>31</v>
      </c>
      <c r="F888" s="1">
        <v>45360</v>
      </c>
      <c r="G888" s="1">
        <v>45388</v>
      </c>
      <c r="H888">
        <v>220055</v>
      </c>
      <c r="I888">
        <v>8252</v>
      </c>
      <c r="J888">
        <v>325</v>
      </c>
      <c r="K888">
        <v>10973.76</v>
      </c>
      <c r="L888">
        <v>69964.86</v>
      </c>
      <c r="M888">
        <v>3.75</v>
      </c>
      <c r="N888">
        <v>3.94</v>
      </c>
      <c r="O888">
        <v>1.33</v>
      </c>
      <c r="P888">
        <v>33.770000000000003</v>
      </c>
      <c r="Q888">
        <v>6.38</v>
      </c>
      <c r="R888">
        <v>537.57000000000005</v>
      </c>
    </row>
    <row r="889" spans="1:18" x14ac:dyDescent="0.3">
      <c r="A889" t="s">
        <v>1806</v>
      </c>
      <c r="B889" t="s">
        <v>1807</v>
      </c>
      <c r="C889" t="s">
        <v>29</v>
      </c>
      <c r="D889" t="s">
        <v>57</v>
      </c>
      <c r="E889" t="s">
        <v>38</v>
      </c>
      <c r="F889" s="1">
        <v>45619</v>
      </c>
      <c r="G889" s="1">
        <v>45640</v>
      </c>
      <c r="H889">
        <v>85396</v>
      </c>
      <c r="I889">
        <v>2143</v>
      </c>
      <c r="J889">
        <v>108</v>
      </c>
      <c r="K889">
        <v>11775.55</v>
      </c>
      <c r="L889">
        <v>43812.95</v>
      </c>
      <c r="M889">
        <v>2.5099999999999998</v>
      </c>
      <c r="N889">
        <v>5.04</v>
      </c>
      <c r="O889">
        <v>5.49</v>
      </c>
      <c r="P889">
        <v>109.03</v>
      </c>
      <c r="Q889">
        <v>3.72</v>
      </c>
      <c r="R889">
        <v>272.07</v>
      </c>
    </row>
    <row r="890" spans="1:18" x14ac:dyDescent="0.3">
      <c r="A890" t="s">
        <v>1808</v>
      </c>
      <c r="B890" t="s">
        <v>1809</v>
      </c>
      <c r="C890" t="s">
        <v>37</v>
      </c>
      <c r="D890" t="s">
        <v>21</v>
      </c>
      <c r="E890" t="s">
        <v>41</v>
      </c>
      <c r="F890" s="1">
        <v>45416</v>
      </c>
      <c r="G890" s="1">
        <v>45428</v>
      </c>
      <c r="H890">
        <v>61121</v>
      </c>
      <c r="I890">
        <v>4706</v>
      </c>
      <c r="J890">
        <v>798</v>
      </c>
      <c r="K890">
        <v>1889.82</v>
      </c>
      <c r="L890">
        <v>10054.99</v>
      </c>
      <c r="M890">
        <v>7.7</v>
      </c>
      <c r="N890">
        <v>16.97</v>
      </c>
      <c r="O890">
        <v>0.4</v>
      </c>
      <c r="P890">
        <v>2.37</v>
      </c>
      <c r="Q890">
        <v>5.32</v>
      </c>
      <c r="R890">
        <v>432.06</v>
      </c>
    </row>
    <row r="891" spans="1:18" x14ac:dyDescent="0.3">
      <c r="A891" t="s">
        <v>1810</v>
      </c>
      <c r="B891" t="s">
        <v>1811</v>
      </c>
      <c r="C891" t="s">
        <v>20</v>
      </c>
      <c r="D891" t="s">
        <v>34</v>
      </c>
      <c r="E891" t="s">
        <v>22</v>
      </c>
      <c r="F891" s="1">
        <v>45598</v>
      </c>
      <c r="G891" s="1">
        <v>45633</v>
      </c>
      <c r="H891">
        <v>311476</v>
      </c>
      <c r="I891">
        <v>11493</v>
      </c>
      <c r="J891">
        <v>564</v>
      </c>
      <c r="K891">
        <v>9087.7099999999991</v>
      </c>
      <c r="L891">
        <v>19725.599999999999</v>
      </c>
      <c r="M891">
        <v>3.69</v>
      </c>
      <c r="N891">
        <v>4.91</v>
      </c>
      <c r="O891">
        <v>0.79</v>
      </c>
      <c r="P891">
        <v>16.11</v>
      </c>
      <c r="Q891">
        <v>2.17</v>
      </c>
      <c r="R891">
        <v>117.06</v>
      </c>
    </row>
    <row r="892" spans="1:18" x14ac:dyDescent="0.3">
      <c r="A892" t="s">
        <v>1812</v>
      </c>
      <c r="B892" t="s">
        <v>1813</v>
      </c>
      <c r="C892" t="s">
        <v>44</v>
      </c>
      <c r="D892" t="s">
        <v>34</v>
      </c>
      <c r="E892" t="s">
        <v>22</v>
      </c>
      <c r="F892" s="1">
        <v>45439</v>
      </c>
      <c r="G892" s="1">
        <v>45447</v>
      </c>
      <c r="H892">
        <v>216481</v>
      </c>
      <c r="I892">
        <v>6213</v>
      </c>
      <c r="J892">
        <v>258</v>
      </c>
      <c r="K892">
        <v>9010.91</v>
      </c>
      <c r="L892">
        <v>57661.3</v>
      </c>
      <c r="M892">
        <v>2.87</v>
      </c>
      <c r="N892">
        <v>4.16</v>
      </c>
      <c r="O892">
        <v>1.45</v>
      </c>
      <c r="P892">
        <v>34.93</v>
      </c>
      <c r="Q892">
        <v>6.4</v>
      </c>
      <c r="R892">
        <v>539.91</v>
      </c>
    </row>
    <row r="893" spans="1:18" x14ac:dyDescent="0.3">
      <c r="A893" t="s">
        <v>1814</v>
      </c>
      <c r="B893" t="s">
        <v>1815</v>
      </c>
      <c r="C893" t="s">
        <v>29</v>
      </c>
      <c r="D893" t="s">
        <v>57</v>
      </c>
      <c r="E893" t="s">
        <v>22</v>
      </c>
      <c r="F893" s="1">
        <v>45405</v>
      </c>
      <c r="G893" s="1">
        <v>45450</v>
      </c>
      <c r="H893">
        <v>177008</v>
      </c>
      <c r="I893">
        <v>3752</v>
      </c>
      <c r="J893">
        <v>85</v>
      </c>
      <c r="K893">
        <v>16765.169999999998</v>
      </c>
      <c r="L893">
        <v>108096.67</v>
      </c>
      <c r="M893">
        <v>2.12</v>
      </c>
      <c r="N893">
        <v>2.27</v>
      </c>
      <c r="O893">
        <v>4.47</v>
      </c>
      <c r="P893">
        <v>197.24</v>
      </c>
      <c r="Q893">
        <v>6.45</v>
      </c>
      <c r="R893">
        <v>544.77</v>
      </c>
    </row>
    <row r="894" spans="1:18" x14ac:dyDescent="0.3">
      <c r="A894" t="s">
        <v>1816</v>
      </c>
      <c r="B894" t="s">
        <v>1817</v>
      </c>
      <c r="C894" t="s">
        <v>25</v>
      </c>
      <c r="D894" t="s">
        <v>57</v>
      </c>
      <c r="E894" t="s">
        <v>41</v>
      </c>
      <c r="F894" s="1">
        <v>45318</v>
      </c>
      <c r="G894" s="1">
        <v>45334</v>
      </c>
      <c r="H894">
        <v>281924</v>
      </c>
      <c r="I894">
        <v>5271</v>
      </c>
      <c r="J894">
        <v>287</v>
      </c>
      <c r="K894">
        <v>11866.28</v>
      </c>
      <c r="L894">
        <v>74656.41</v>
      </c>
      <c r="M894">
        <v>1.87</v>
      </c>
      <c r="N894">
        <v>5.45</v>
      </c>
      <c r="O894">
        <v>2.25</v>
      </c>
      <c r="P894">
        <v>41.35</v>
      </c>
      <c r="Q894">
        <v>6.29</v>
      </c>
      <c r="R894">
        <v>529.15</v>
      </c>
    </row>
    <row r="895" spans="1:18" x14ac:dyDescent="0.3">
      <c r="A895" t="s">
        <v>1818</v>
      </c>
      <c r="B895" t="s">
        <v>1819</v>
      </c>
      <c r="C895" t="s">
        <v>29</v>
      </c>
      <c r="D895" t="s">
        <v>34</v>
      </c>
      <c r="E895" t="s">
        <v>26</v>
      </c>
      <c r="F895" s="1">
        <v>45332</v>
      </c>
      <c r="G895" s="1">
        <v>45366</v>
      </c>
      <c r="H895">
        <v>141056</v>
      </c>
      <c r="I895">
        <v>4626</v>
      </c>
      <c r="J895">
        <v>284</v>
      </c>
      <c r="K895">
        <v>16977.189999999999</v>
      </c>
      <c r="L895">
        <v>52007.85</v>
      </c>
      <c r="M895">
        <v>3.28</v>
      </c>
      <c r="N895">
        <v>6.16</v>
      </c>
      <c r="O895">
        <v>3.67</v>
      </c>
      <c r="P895">
        <v>59.78</v>
      </c>
      <c r="Q895">
        <v>3.06</v>
      </c>
      <c r="R895">
        <v>206.34</v>
      </c>
    </row>
    <row r="896" spans="1:18" x14ac:dyDescent="0.3">
      <c r="A896" t="s">
        <v>1820</v>
      </c>
      <c r="B896" t="s">
        <v>1821</v>
      </c>
      <c r="C896" t="s">
        <v>25</v>
      </c>
      <c r="D896" t="s">
        <v>57</v>
      </c>
      <c r="E896" t="s">
        <v>41</v>
      </c>
      <c r="F896" s="1">
        <v>45587</v>
      </c>
      <c r="G896" s="1">
        <v>45622</v>
      </c>
      <c r="H896">
        <v>428364</v>
      </c>
      <c r="I896">
        <v>4883</v>
      </c>
      <c r="J896">
        <v>389</v>
      </c>
      <c r="K896">
        <v>13693.62</v>
      </c>
      <c r="L896">
        <v>46064.7</v>
      </c>
      <c r="M896">
        <v>1.1399999999999999</v>
      </c>
      <c r="N896">
        <v>7.97</v>
      </c>
      <c r="O896">
        <v>2.8</v>
      </c>
      <c r="P896">
        <v>35.200000000000003</v>
      </c>
      <c r="Q896">
        <v>3.36</v>
      </c>
      <c r="R896">
        <v>236.4</v>
      </c>
    </row>
    <row r="897" spans="1:18" x14ac:dyDescent="0.3">
      <c r="A897" t="s">
        <v>1822</v>
      </c>
      <c r="B897" t="s">
        <v>1823</v>
      </c>
      <c r="C897" t="s">
        <v>29</v>
      </c>
      <c r="D897" t="s">
        <v>57</v>
      </c>
      <c r="E897" t="s">
        <v>38</v>
      </c>
      <c r="F897" s="1">
        <v>45508</v>
      </c>
      <c r="G897" s="1">
        <v>45547</v>
      </c>
      <c r="H897">
        <v>91951</v>
      </c>
      <c r="I897">
        <v>3999</v>
      </c>
      <c r="J897">
        <v>151</v>
      </c>
      <c r="K897">
        <v>8665.76</v>
      </c>
      <c r="L897">
        <v>35687.43</v>
      </c>
      <c r="M897">
        <v>4.3499999999999996</v>
      </c>
      <c r="N897">
        <v>3.8</v>
      </c>
      <c r="O897">
        <v>2.17</v>
      </c>
      <c r="P897">
        <v>57.39</v>
      </c>
      <c r="Q897">
        <v>4.12</v>
      </c>
      <c r="R897">
        <v>311.82</v>
      </c>
    </row>
    <row r="898" spans="1:18" x14ac:dyDescent="0.3">
      <c r="A898" t="s">
        <v>1824</v>
      </c>
      <c r="B898" t="s">
        <v>1825</v>
      </c>
      <c r="C898" t="s">
        <v>37</v>
      </c>
      <c r="D898" t="s">
        <v>30</v>
      </c>
      <c r="E898" t="s">
        <v>41</v>
      </c>
      <c r="F898" s="1">
        <v>45334</v>
      </c>
      <c r="G898" s="1">
        <v>45360</v>
      </c>
      <c r="H898">
        <v>479708</v>
      </c>
      <c r="I898">
        <v>46627</v>
      </c>
      <c r="J898">
        <v>5977</v>
      </c>
      <c r="K898">
        <v>3928.68</v>
      </c>
      <c r="L898">
        <v>15413.34</v>
      </c>
      <c r="M898">
        <v>9.7200000000000006</v>
      </c>
      <c r="N898">
        <v>12.82</v>
      </c>
      <c r="O898">
        <v>0.08</v>
      </c>
      <c r="P898">
        <v>0.66</v>
      </c>
      <c r="Q898">
        <v>3.92</v>
      </c>
      <c r="R898">
        <v>292.33</v>
      </c>
    </row>
    <row r="899" spans="1:18" x14ac:dyDescent="0.3">
      <c r="A899" t="s">
        <v>1826</v>
      </c>
      <c r="B899" t="s">
        <v>1827</v>
      </c>
      <c r="C899" t="s">
        <v>37</v>
      </c>
      <c r="D899" t="s">
        <v>34</v>
      </c>
      <c r="E899" t="s">
        <v>31</v>
      </c>
      <c r="F899" s="1">
        <v>45579</v>
      </c>
      <c r="G899" s="1">
        <v>45624</v>
      </c>
      <c r="H899">
        <v>430972</v>
      </c>
      <c r="I899">
        <v>21764</v>
      </c>
      <c r="J899">
        <v>2568</v>
      </c>
      <c r="K899">
        <v>1876.31</v>
      </c>
      <c r="L899">
        <v>6144.01</v>
      </c>
      <c r="M899">
        <v>5.05</v>
      </c>
      <c r="N899">
        <v>11.8</v>
      </c>
      <c r="O899">
        <v>0.09</v>
      </c>
      <c r="P899">
        <v>0.73</v>
      </c>
      <c r="Q899">
        <v>3.27</v>
      </c>
      <c r="R899">
        <v>227.45</v>
      </c>
    </row>
    <row r="900" spans="1:18" x14ac:dyDescent="0.3">
      <c r="A900" t="s">
        <v>1828</v>
      </c>
      <c r="B900" t="s">
        <v>1829</v>
      </c>
      <c r="C900" t="s">
        <v>25</v>
      </c>
      <c r="D900" t="s">
        <v>21</v>
      </c>
      <c r="E900" t="s">
        <v>22</v>
      </c>
      <c r="F900" s="1">
        <v>45548</v>
      </c>
      <c r="G900" s="1">
        <v>45578</v>
      </c>
      <c r="H900">
        <v>121647</v>
      </c>
      <c r="I900">
        <v>2457</v>
      </c>
      <c r="J900">
        <v>156</v>
      </c>
      <c r="K900">
        <v>18658.11</v>
      </c>
      <c r="L900">
        <v>37667.230000000003</v>
      </c>
      <c r="M900">
        <v>2.02</v>
      </c>
      <c r="N900">
        <v>6.37</v>
      </c>
      <c r="O900">
        <v>7.59</v>
      </c>
      <c r="P900">
        <v>119.6</v>
      </c>
      <c r="Q900">
        <v>2.02</v>
      </c>
      <c r="R900">
        <v>101.88</v>
      </c>
    </row>
    <row r="901" spans="1:18" x14ac:dyDescent="0.3">
      <c r="A901" t="s">
        <v>1830</v>
      </c>
      <c r="B901" t="s">
        <v>1831</v>
      </c>
      <c r="C901" t="s">
        <v>25</v>
      </c>
      <c r="D901" t="s">
        <v>30</v>
      </c>
      <c r="E901" t="s">
        <v>38</v>
      </c>
      <c r="F901" s="1">
        <v>45593</v>
      </c>
      <c r="G901" s="1">
        <v>45604</v>
      </c>
      <c r="H901">
        <v>256910</v>
      </c>
      <c r="I901">
        <v>6294</v>
      </c>
      <c r="J901">
        <v>478</v>
      </c>
      <c r="K901">
        <v>11832.82</v>
      </c>
      <c r="L901">
        <v>57800</v>
      </c>
      <c r="M901">
        <v>2.4500000000000002</v>
      </c>
      <c r="N901">
        <v>7.61</v>
      </c>
      <c r="O901">
        <v>1.88</v>
      </c>
      <c r="P901">
        <v>24.75</v>
      </c>
      <c r="Q901">
        <v>4.88</v>
      </c>
      <c r="R901">
        <v>388.47</v>
      </c>
    </row>
    <row r="902" spans="1:18" x14ac:dyDescent="0.3">
      <c r="A902" t="s">
        <v>1832</v>
      </c>
      <c r="B902" t="s">
        <v>1833</v>
      </c>
      <c r="C902" t="s">
        <v>25</v>
      </c>
      <c r="D902" t="s">
        <v>21</v>
      </c>
      <c r="E902" t="s">
        <v>26</v>
      </c>
      <c r="F902" s="1">
        <v>45470</v>
      </c>
      <c r="G902" s="1">
        <v>45509</v>
      </c>
      <c r="H902">
        <v>251759</v>
      </c>
      <c r="I902">
        <v>5991</v>
      </c>
      <c r="J902">
        <v>367</v>
      </c>
      <c r="K902">
        <v>16207.21</v>
      </c>
      <c r="L902">
        <v>102217.84</v>
      </c>
      <c r="M902">
        <v>2.38</v>
      </c>
      <c r="N902">
        <v>6.14</v>
      </c>
      <c r="O902">
        <v>2.71</v>
      </c>
      <c r="P902">
        <v>44.16</v>
      </c>
      <c r="Q902">
        <v>6.31</v>
      </c>
      <c r="R902">
        <v>530.69000000000005</v>
      </c>
    </row>
    <row r="903" spans="1:18" x14ac:dyDescent="0.3">
      <c r="A903" t="s">
        <v>1834</v>
      </c>
      <c r="B903" t="s">
        <v>1835</v>
      </c>
      <c r="C903" t="s">
        <v>25</v>
      </c>
      <c r="D903" t="s">
        <v>57</v>
      </c>
      <c r="E903" t="s">
        <v>26</v>
      </c>
      <c r="F903" s="1">
        <v>45477</v>
      </c>
      <c r="G903" s="1">
        <v>45485</v>
      </c>
      <c r="H903">
        <v>391262</v>
      </c>
      <c r="I903">
        <v>5712</v>
      </c>
      <c r="J903">
        <v>455</v>
      </c>
      <c r="K903">
        <v>7948.67</v>
      </c>
      <c r="L903">
        <v>32985.11</v>
      </c>
      <c r="M903">
        <v>1.46</v>
      </c>
      <c r="N903">
        <v>7.97</v>
      </c>
      <c r="O903">
        <v>1.39</v>
      </c>
      <c r="P903">
        <v>17.47</v>
      </c>
      <c r="Q903">
        <v>4.1500000000000004</v>
      </c>
      <c r="R903">
        <v>314.98</v>
      </c>
    </row>
    <row r="904" spans="1:18" x14ac:dyDescent="0.3">
      <c r="A904" t="s">
        <v>1836</v>
      </c>
      <c r="B904" t="s">
        <v>1837</v>
      </c>
      <c r="C904" t="s">
        <v>29</v>
      </c>
      <c r="D904" t="s">
        <v>57</v>
      </c>
      <c r="E904" t="s">
        <v>31</v>
      </c>
      <c r="F904" s="1">
        <v>45374</v>
      </c>
      <c r="G904" s="1">
        <v>45381</v>
      </c>
      <c r="H904">
        <v>288797</v>
      </c>
      <c r="I904">
        <v>12504</v>
      </c>
      <c r="J904">
        <v>342</v>
      </c>
      <c r="K904">
        <v>6711.22</v>
      </c>
      <c r="L904">
        <v>30888.65</v>
      </c>
      <c r="M904">
        <v>4.33</v>
      </c>
      <c r="N904">
        <v>2.74</v>
      </c>
      <c r="O904">
        <v>0.54</v>
      </c>
      <c r="P904">
        <v>19.62</v>
      </c>
      <c r="Q904">
        <v>4.5999999999999996</v>
      </c>
      <c r="R904">
        <v>360.25</v>
      </c>
    </row>
    <row r="905" spans="1:18" x14ac:dyDescent="0.3">
      <c r="A905" t="s">
        <v>1838</v>
      </c>
      <c r="B905" t="s">
        <v>1839</v>
      </c>
      <c r="C905" t="s">
        <v>20</v>
      </c>
      <c r="D905" t="s">
        <v>21</v>
      </c>
      <c r="E905" t="s">
        <v>38</v>
      </c>
      <c r="F905" s="1">
        <v>45508</v>
      </c>
      <c r="G905" s="1">
        <v>45525</v>
      </c>
      <c r="H905">
        <v>258491</v>
      </c>
      <c r="I905">
        <v>13751</v>
      </c>
      <c r="J905">
        <v>1353</v>
      </c>
      <c r="K905">
        <v>6606.97</v>
      </c>
      <c r="L905">
        <v>40267.97</v>
      </c>
      <c r="M905">
        <v>5.32</v>
      </c>
      <c r="N905">
        <v>9.84</v>
      </c>
      <c r="O905">
        <v>0.48</v>
      </c>
      <c r="P905">
        <v>4.88</v>
      </c>
      <c r="Q905">
        <v>6.09</v>
      </c>
      <c r="R905">
        <v>509.48</v>
      </c>
    </row>
    <row r="906" spans="1:18" x14ac:dyDescent="0.3">
      <c r="A906" t="s">
        <v>1840</v>
      </c>
      <c r="B906" t="s">
        <v>1841</v>
      </c>
      <c r="C906" t="s">
        <v>25</v>
      </c>
      <c r="D906" t="s">
        <v>57</v>
      </c>
      <c r="E906" t="s">
        <v>22</v>
      </c>
      <c r="F906" s="1">
        <v>45502</v>
      </c>
      <c r="G906" s="1">
        <v>45514</v>
      </c>
      <c r="H906">
        <v>312483</v>
      </c>
      <c r="I906">
        <v>7655</v>
      </c>
      <c r="J906">
        <v>735</v>
      </c>
      <c r="K906">
        <v>10124.620000000001</v>
      </c>
      <c r="L906">
        <v>34281</v>
      </c>
      <c r="M906">
        <v>2.4500000000000002</v>
      </c>
      <c r="N906">
        <v>9.61</v>
      </c>
      <c r="O906">
        <v>1.32</v>
      </c>
      <c r="P906">
        <v>13.77</v>
      </c>
      <c r="Q906">
        <v>3.39</v>
      </c>
      <c r="R906">
        <v>238.59</v>
      </c>
    </row>
    <row r="907" spans="1:18" x14ac:dyDescent="0.3">
      <c r="A907" t="s">
        <v>1842</v>
      </c>
      <c r="B907" t="s">
        <v>1843</v>
      </c>
      <c r="C907" t="s">
        <v>20</v>
      </c>
      <c r="D907" t="s">
        <v>57</v>
      </c>
      <c r="E907" t="s">
        <v>41</v>
      </c>
      <c r="F907" s="1">
        <v>45378</v>
      </c>
      <c r="G907" s="1">
        <v>45416</v>
      </c>
      <c r="H907">
        <v>191044</v>
      </c>
      <c r="I907">
        <v>10488</v>
      </c>
      <c r="J907">
        <v>1004</v>
      </c>
      <c r="K907">
        <v>12959.4</v>
      </c>
      <c r="L907">
        <v>43886.38</v>
      </c>
      <c r="M907">
        <v>5.49</v>
      </c>
      <c r="N907">
        <v>9.58</v>
      </c>
      <c r="O907">
        <v>1.24</v>
      </c>
      <c r="P907">
        <v>12.91</v>
      </c>
      <c r="Q907">
        <v>3.39</v>
      </c>
      <c r="R907">
        <v>238.65</v>
      </c>
    </row>
    <row r="908" spans="1:18" x14ac:dyDescent="0.3">
      <c r="A908" t="s">
        <v>1844</v>
      </c>
      <c r="B908" t="s">
        <v>1845</v>
      </c>
      <c r="C908" t="s">
        <v>20</v>
      </c>
      <c r="D908" t="s">
        <v>21</v>
      </c>
      <c r="E908" t="s">
        <v>26</v>
      </c>
      <c r="F908" s="1">
        <v>45379</v>
      </c>
      <c r="G908" s="1">
        <v>45397</v>
      </c>
      <c r="H908">
        <v>455664</v>
      </c>
      <c r="I908">
        <v>24104</v>
      </c>
      <c r="J908">
        <v>1723</v>
      </c>
      <c r="K908">
        <v>18090.419999999998</v>
      </c>
      <c r="L908">
        <v>95855.53</v>
      </c>
      <c r="M908">
        <v>5.29</v>
      </c>
      <c r="N908">
        <v>7.15</v>
      </c>
      <c r="O908">
        <v>0.75</v>
      </c>
      <c r="P908">
        <v>10.5</v>
      </c>
      <c r="Q908">
        <v>5.3</v>
      </c>
      <c r="R908">
        <v>429.87</v>
      </c>
    </row>
    <row r="909" spans="1:18" x14ac:dyDescent="0.3">
      <c r="A909" t="s">
        <v>1846</v>
      </c>
      <c r="B909" t="s">
        <v>1847</v>
      </c>
      <c r="C909" t="s">
        <v>44</v>
      </c>
      <c r="D909" t="s">
        <v>34</v>
      </c>
      <c r="E909" t="s">
        <v>41</v>
      </c>
      <c r="F909" s="1">
        <v>45400</v>
      </c>
      <c r="G909" s="1">
        <v>45418</v>
      </c>
      <c r="H909">
        <v>153819</v>
      </c>
      <c r="I909">
        <v>3783</v>
      </c>
      <c r="J909">
        <v>123</v>
      </c>
      <c r="K909">
        <v>3877.98</v>
      </c>
      <c r="L909">
        <v>17652.23</v>
      </c>
      <c r="M909">
        <v>2.46</v>
      </c>
      <c r="N909">
        <v>3.26</v>
      </c>
      <c r="O909">
        <v>1.03</v>
      </c>
      <c r="P909">
        <v>31.53</v>
      </c>
      <c r="Q909">
        <v>4.55</v>
      </c>
      <c r="R909">
        <v>355.19</v>
      </c>
    </row>
    <row r="910" spans="1:18" x14ac:dyDescent="0.3">
      <c r="A910" t="s">
        <v>1848</v>
      </c>
      <c r="B910" t="s">
        <v>1849</v>
      </c>
      <c r="C910" t="s">
        <v>29</v>
      </c>
      <c r="D910" t="s">
        <v>21</v>
      </c>
      <c r="E910" t="s">
        <v>41</v>
      </c>
      <c r="F910" s="1">
        <v>45612</v>
      </c>
      <c r="G910" s="1">
        <v>45625</v>
      </c>
      <c r="H910">
        <v>474242</v>
      </c>
      <c r="I910">
        <v>17926</v>
      </c>
      <c r="J910">
        <v>591</v>
      </c>
      <c r="K910">
        <v>16534.099999999999</v>
      </c>
      <c r="L910">
        <v>63483.77</v>
      </c>
      <c r="M910">
        <v>3.78</v>
      </c>
      <c r="N910">
        <v>3.3</v>
      </c>
      <c r="O910">
        <v>0.92</v>
      </c>
      <c r="P910">
        <v>27.98</v>
      </c>
      <c r="Q910">
        <v>3.84</v>
      </c>
      <c r="R910">
        <v>283.95999999999998</v>
      </c>
    </row>
    <row r="911" spans="1:18" x14ac:dyDescent="0.3">
      <c r="A911" t="s">
        <v>1850</v>
      </c>
      <c r="B911" t="s">
        <v>1851</v>
      </c>
      <c r="C911" t="s">
        <v>29</v>
      </c>
      <c r="D911" t="s">
        <v>21</v>
      </c>
      <c r="E911" t="s">
        <v>22</v>
      </c>
      <c r="F911" s="1">
        <v>45536</v>
      </c>
      <c r="G911" s="1">
        <v>45574</v>
      </c>
      <c r="H911">
        <v>94935</v>
      </c>
      <c r="I911">
        <v>2496</v>
      </c>
      <c r="J911">
        <v>84</v>
      </c>
      <c r="K911">
        <v>8132.28</v>
      </c>
      <c r="L911">
        <v>37696.44</v>
      </c>
      <c r="M911">
        <v>2.63</v>
      </c>
      <c r="N911">
        <v>3.38</v>
      </c>
      <c r="O911">
        <v>3.26</v>
      </c>
      <c r="P911">
        <v>96.81</v>
      </c>
      <c r="Q911">
        <v>4.6399999999999997</v>
      </c>
      <c r="R911">
        <v>363.54</v>
      </c>
    </row>
    <row r="912" spans="1:18" x14ac:dyDescent="0.3">
      <c r="A912" t="s">
        <v>1852</v>
      </c>
      <c r="B912" t="s">
        <v>1853</v>
      </c>
      <c r="C912" t="s">
        <v>20</v>
      </c>
      <c r="D912" t="s">
        <v>21</v>
      </c>
      <c r="E912" t="s">
        <v>26</v>
      </c>
      <c r="F912" s="1">
        <v>45341</v>
      </c>
      <c r="G912" s="1">
        <v>45361</v>
      </c>
      <c r="H912">
        <v>189502</v>
      </c>
      <c r="I912">
        <v>10441</v>
      </c>
      <c r="J912">
        <v>421</v>
      </c>
      <c r="K912">
        <v>16648.91</v>
      </c>
      <c r="L912">
        <v>107290.32</v>
      </c>
      <c r="M912">
        <v>5.51</v>
      </c>
      <c r="N912">
        <v>4.04</v>
      </c>
      <c r="O912">
        <v>1.59</v>
      </c>
      <c r="P912">
        <v>39.549999999999997</v>
      </c>
      <c r="Q912">
        <v>6.44</v>
      </c>
      <c r="R912">
        <v>544.42999999999995</v>
      </c>
    </row>
    <row r="913" spans="1:18" x14ac:dyDescent="0.3">
      <c r="A913" t="s">
        <v>1854</v>
      </c>
      <c r="B913" t="s">
        <v>1855</v>
      </c>
      <c r="C913" t="s">
        <v>37</v>
      </c>
      <c r="D913" t="s">
        <v>21</v>
      </c>
      <c r="E913" t="s">
        <v>38</v>
      </c>
      <c r="F913" s="1">
        <v>45464</v>
      </c>
      <c r="G913" s="1">
        <v>45509</v>
      </c>
      <c r="H913">
        <v>366137</v>
      </c>
      <c r="I913">
        <v>26068</v>
      </c>
      <c r="J913">
        <v>4593</v>
      </c>
      <c r="K913">
        <v>1696.26</v>
      </c>
      <c r="L913">
        <v>7101.68</v>
      </c>
      <c r="M913">
        <v>7.12</v>
      </c>
      <c r="N913">
        <v>17.62</v>
      </c>
      <c r="O913">
        <v>7.0000000000000007E-2</v>
      </c>
      <c r="P913">
        <v>0.37</v>
      </c>
      <c r="Q913">
        <v>4.1900000000000004</v>
      </c>
      <c r="R913">
        <v>318.67</v>
      </c>
    </row>
    <row r="914" spans="1:18" x14ac:dyDescent="0.3">
      <c r="A914" t="s">
        <v>1856</v>
      </c>
      <c r="B914" t="s">
        <v>1857</v>
      </c>
      <c r="C914" t="s">
        <v>25</v>
      </c>
      <c r="D914" t="s">
        <v>57</v>
      </c>
      <c r="E914" t="s">
        <v>22</v>
      </c>
      <c r="F914" s="1">
        <v>45496</v>
      </c>
      <c r="G914" s="1">
        <v>45527</v>
      </c>
      <c r="H914">
        <v>407491</v>
      </c>
      <c r="I914">
        <v>9413</v>
      </c>
      <c r="J914">
        <v>1129</v>
      </c>
      <c r="K914">
        <v>17069.560000000001</v>
      </c>
      <c r="L914">
        <v>106419.48</v>
      </c>
      <c r="M914">
        <v>2.31</v>
      </c>
      <c r="N914">
        <v>12</v>
      </c>
      <c r="O914">
        <v>1.81</v>
      </c>
      <c r="P914">
        <v>15.12</v>
      </c>
      <c r="Q914">
        <v>6.23</v>
      </c>
      <c r="R914">
        <v>523.45000000000005</v>
      </c>
    </row>
    <row r="915" spans="1:18" x14ac:dyDescent="0.3">
      <c r="A915" t="s">
        <v>1858</v>
      </c>
      <c r="B915" t="s">
        <v>1859</v>
      </c>
      <c r="C915" t="s">
        <v>37</v>
      </c>
      <c r="D915" t="s">
        <v>21</v>
      </c>
      <c r="E915" t="s">
        <v>22</v>
      </c>
      <c r="F915" s="1">
        <v>45363</v>
      </c>
      <c r="G915" s="1">
        <v>45371</v>
      </c>
      <c r="H915">
        <v>223148</v>
      </c>
      <c r="I915">
        <v>19726</v>
      </c>
      <c r="J915">
        <v>1583</v>
      </c>
      <c r="K915">
        <v>4417.4399999999996</v>
      </c>
      <c r="L915">
        <v>16822.22</v>
      </c>
      <c r="M915">
        <v>8.84</v>
      </c>
      <c r="N915">
        <v>8.0299999999999994</v>
      </c>
      <c r="O915">
        <v>0.22</v>
      </c>
      <c r="P915">
        <v>2.79</v>
      </c>
      <c r="Q915">
        <v>3.81</v>
      </c>
      <c r="R915">
        <v>280.81</v>
      </c>
    </row>
    <row r="916" spans="1:18" x14ac:dyDescent="0.3">
      <c r="A916" t="s">
        <v>1860</v>
      </c>
      <c r="B916" t="s">
        <v>1861</v>
      </c>
      <c r="C916" t="s">
        <v>37</v>
      </c>
      <c r="D916" t="s">
        <v>21</v>
      </c>
      <c r="E916" t="s">
        <v>31</v>
      </c>
      <c r="F916" s="1">
        <v>45535</v>
      </c>
      <c r="G916" s="1">
        <v>45574</v>
      </c>
      <c r="H916">
        <v>196521</v>
      </c>
      <c r="I916">
        <v>19082</v>
      </c>
      <c r="J916">
        <v>2959</v>
      </c>
      <c r="K916">
        <v>1618.42</v>
      </c>
      <c r="L916">
        <v>6528.11</v>
      </c>
      <c r="M916">
        <v>9.7100000000000009</v>
      </c>
      <c r="N916">
        <v>15.51</v>
      </c>
      <c r="O916">
        <v>0.08</v>
      </c>
      <c r="P916">
        <v>0.55000000000000004</v>
      </c>
      <c r="Q916">
        <v>4.03</v>
      </c>
      <c r="R916">
        <v>303.36</v>
      </c>
    </row>
    <row r="917" spans="1:18" x14ac:dyDescent="0.3">
      <c r="A917" t="s">
        <v>1862</v>
      </c>
      <c r="B917" t="s">
        <v>1863</v>
      </c>
      <c r="C917" t="s">
        <v>25</v>
      </c>
      <c r="D917" t="s">
        <v>34</v>
      </c>
      <c r="E917" t="s">
        <v>26</v>
      </c>
      <c r="F917" s="1">
        <v>45315</v>
      </c>
      <c r="G917" s="1">
        <v>45342</v>
      </c>
      <c r="H917">
        <v>384534</v>
      </c>
      <c r="I917">
        <v>9344</v>
      </c>
      <c r="J917">
        <v>998</v>
      </c>
      <c r="K917">
        <v>4266.08</v>
      </c>
      <c r="L917">
        <v>15447.16</v>
      </c>
      <c r="M917">
        <v>2.4300000000000002</v>
      </c>
      <c r="N917">
        <v>10.69</v>
      </c>
      <c r="O917">
        <v>0.46</v>
      </c>
      <c r="P917">
        <v>4.2699999999999996</v>
      </c>
      <c r="Q917">
        <v>3.62</v>
      </c>
      <c r="R917">
        <v>262.08999999999997</v>
      </c>
    </row>
    <row r="918" spans="1:18" x14ac:dyDescent="0.3">
      <c r="A918" t="s">
        <v>1864</v>
      </c>
      <c r="B918" t="s">
        <v>1865</v>
      </c>
      <c r="C918" t="s">
        <v>25</v>
      </c>
      <c r="D918" t="s">
        <v>34</v>
      </c>
      <c r="E918" t="s">
        <v>31</v>
      </c>
      <c r="F918" s="1">
        <v>45535</v>
      </c>
      <c r="G918" s="1">
        <v>45548</v>
      </c>
      <c r="H918">
        <v>304036</v>
      </c>
      <c r="I918">
        <v>4499</v>
      </c>
      <c r="J918">
        <v>417</v>
      </c>
      <c r="K918">
        <v>5301.91</v>
      </c>
      <c r="L918">
        <v>20813.3</v>
      </c>
      <c r="M918">
        <v>1.48</v>
      </c>
      <c r="N918">
        <v>9.2899999999999991</v>
      </c>
      <c r="O918">
        <v>1.18</v>
      </c>
      <c r="P918">
        <v>12.71</v>
      </c>
      <c r="Q918">
        <v>3.93</v>
      </c>
      <c r="R918">
        <v>292.56</v>
      </c>
    </row>
    <row r="919" spans="1:18" x14ac:dyDescent="0.3">
      <c r="A919" t="s">
        <v>1866</v>
      </c>
      <c r="B919" t="s">
        <v>1867</v>
      </c>
      <c r="C919" t="s">
        <v>25</v>
      </c>
      <c r="D919" t="s">
        <v>57</v>
      </c>
      <c r="E919" t="s">
        <v>31</v>
      </c>
      <c r="F919" s="1">
        <v>45550</v>
      </c>
      <c r="G919" s="1">
        <v>45559</v>
      </c>
      <c r="H919">
        <v>152276</v>
      </c>
      <c r="I919">
        <v>3060</v>
      </c>
      <c r="J919">
        <v>339</v>
      </c>
      <c r="K919">
        <v>18019.740000000002</v>
      </c>
      <c r="L919">
        <v>99683.02</v>
      </c>
      <c r="M919">
        <v>2.0099999999999998</v>
      </c>
      <c r="N919">
        <v>11.09</v>
      </c>
      <c r="O919">
        <v>5.89</v>
      </c>
      <c r="P919">
        <v>53.16</v>
      </c>
      <c r="Q919">
        <v>5.53</v>
      </c>
      <c r="R919">
        <v>453.19</v>
      </c>
    </row>
    <row r="920" spans="1:18" x14ac:dyDescent="0.3">
      <c r="A920" t="s">
        <v>1868</v>
      </c>
      <c r="B920" t="s">
        <v>1869</v>
      </c>
      <c r="C920" t="s">
        <v>29</v>
      </c>
      <c r="D920" t="s">
        <v>30</v>
      </c>
      <c r="E920" t="s">
        <v>26</v>
      </c>
      <c r="F920" s="1">
        <v>45520</v>
      </c>
      <c r="G920" s="1">
        <v>45534</v>
      </c>
      <c r="H920">
        <v>207993</v>
      </c>
      <c r="I920">
        <v>8319</v>
      </c>
      <c r="J920">
        <v>580</v>
      </c>
      <c r="K920">
        <v>17808.29</v>
      </c>
      <c r="L920">
        <v>73024.92</v>
      </c>
      <c r="M920">
        <v>4</v>
      </c>
      <c r="N920">
        <v>6.98</v>
      </c>
      <c r="O920">
        <v>2.14</v>
      </c>
      <c r="P920">
        <v>30.7</v>
      </c>
      <c r="Q920">
        <v>4.0999999999999996</v>
      </c>
      <c r="R920">
        <v>310.06</v>
      </c>
    </row>
    <row r="921" spans="1:18" x14ac:dyDescent="0.3">
      <c r="A921" t="s">
        <v>1870</v>
      </c>
      <c r="B921" t="s">
        <v>1871</v>
      </c>
      <c r="C921" t="s">
        <v>25</v>
      </c>
      <c r="D921" t="s">
        <v>34</v>
      </c>
      <c r="E921" t="s">
        <v>41</v>
      </c>
      <c r="F921" s="1">
        <v>45306</v>
      </c>
      <c r="G921" s="1">
        <v>45323</v>
      </c>
      <c r="H921">
        <v>160960</v>
      </c>
      <c r="I921">
        <v>1754</v>
      </c>
      <c r="J921">
        <v>203</v>
      </c>
      <c r="K921">
        <v>15198.54</v>
      </c>
      <c r="L921">
        <v>37610.51</v>
      </c>
      <c r="M921">
        <v>1.0900000000000001</v>
      </c>
      <c r="N921">
        <v>11.61</v>
      </c>
      <c r="O921">
        <v>8.67</v>
      </c>
      <c r="P921">
        <v>74.87</v>
      </c>
      <c r="Q921">
        <v>2.4700000000000002</v>
      </c>
      <c r="R921">
        <v>147.46</v>
      </c>
    </row>
    <row r="922" spans="1:18" x14ac:dyDescent="0.3">
      <c r="A922" t="s">
        <v>1872</v>
      </c>
      <c r="B922" t="s">
        <v>1873</v>
      </c>
      <c r="C922" t="s">
        <v>44</v>
      </c>
      <c r="D922" t="s">
        <v>30</v>
      </c>
      <c r="E922" t="s">
        <v>22</v>
      </c>
      <c r="F922" s="1">
        <v>45361</v>
      </c>
      <c r="G922" s="1">
        <v>45402</v>
      </c>
      <c r="H922">
        <v>165540</v>
      </c>
      <c r="I922">
        <v>5082</v>
      </c>
      <c r="J922">
        <v>194</v>
      </c>
      <c r="K922">
        <v>14393.8</v>
      </c>
      <c r="L922">
        <v>72223.850000000006</v>
      </c>
      <c r="M922">
        <v>3.07</v>
      </c>
      <c r="N922">
        <v>3.83</v>
      </c>
      <c r="O922">
        <v>2.83</v>
      </c>
      <c r="P922">
        <v>74.19</v>
      </c>
      <c r="Q922">
        <v>5.0199999999999996</v>
      </c>
      <c r="R922">
        <v>401.77</v>
      </c>
    </row>
    <row r="923" spans="1:18" x14ac:dyDescent="0.3">
      <c r="A923" t="s">
        <v>1874</v>
      </c>
      <c r="B923" t="s">
        <v>1875</v>
      </c>
      <c r="C923" t="s">
        <v>25</v>
      </c>
      <c r="D923" t="s">
        <v>21</v>
      </c>
      <c r="E923" t="s">
        <v>22</v>
      </c>
      <c r="F923" s="1">
        <v>45485</v>
      </c>
      <c r="G923" s="1">
        <v>45516</v>
      </c>
      <c r="H923">
        <v>167338</v>
      </c>
      <c r="I923">
        <v>3982</v>
      </c>
      <c r="J923">
        <v>412</v>
      </c>
      <c r="K923">
        <v>13610.87</v>
      </c>
      <c r="L923">
        <v>66665.22</v>
      </c>
      <c r="M923">
        <v>2.38</v>
      </c>
      <c r="N923">
        <v>10.36</v>
      </c>
      <c r="O923">
        <v>3.42</v>
      </c>
      <c r="P923">
        <v>33.04</v>
      </c>
      <c r="Q923">
        <v>4.9000000000000004</v>
      </c>
      <c r="R923">
        <v>389.79</v>
      </c>
    </row>
    <row r="924" spans="1:18" x14ac:dyDescent="0.3">
      <c r="A924" t="s">
        <v>1876</v>
      </c>
      <c r="B924" t="s">
        <v>1877</v>
      </c>
      <c r="C924" t="s">
        <v>37</v>
      </c>
      <c r="D924" t="s">
        <v>30</v>
      </c>
      <c r="E924" t="s">
        <v>41</v>
      </c>
      <c r="F924" s="1">
        <v>45595</v>
      </c>
      <c r="G924" s="1">
        <v>45614</v>
      </c>
      <c r="H924">
        <v>167205</v>
      </c>
      <c r="I924">
        <v>9279</v>
      </c>
      <c r="J924">
        <v>1012</v>
      </c>
      <c r="K924">
        <v>1001.22</v>
      </c>
      <c r="L924">
        <v>3535.38</v>
      </c>
      <c r="M924">
        <v>5.55</v>
      </c>
      <c r="N924">
        <v>10.91</v>
      </c>
      <c r="O924">
        <v>0.11</v>
      </c>
      <c r="P924">
        <v>0.99</v>
      </c>
      <c r="Q924">
        <v>3.53</v>
      </c>
      <c r="R924">
        <v>253.11</v>
      </c>
    </row>
    <row r="925" spans="1:18" x14ac:dyDescent="0.3">
      <c r="A925" t="s">
        <v>1878</v>
      </c>
      <c r="B925" t="s">
        <v>1879</v>
      </c>
      <c r="C925" t="s">
        <v>20</v>
      </c>
      <c r="D925" t="s">
        <v>57</v>
      </c>
      <c r="E925" t="s">
        <v>41</v>
      </c>
      <c r="F925" s="1">
        <v>45594</v>
      </c>
      <c r="G925" s="1">
        <v>45635</v>
      </c>
      <c r="H925">
        <v>497390</v>
      </c>
      <c r="I925">
        <v>18652</v>
      </c>
      <c r="J925">
        <v>1171</v>
      </c>
      <c r="K925">
        <v>19738.36</v>
      </c>
      <c r="L925">
        <v>67082.69</v>
      </c>
      <c r="M925">
        <v>3.75</v>
      </c>
      <c r="N925">
        <v>6.28</v>
      </c>
      <c r="O925">
        <v>1.06</v>
      </c>
      <c r="P925">
        <v>16.86</v>
      </c>
      <c r="Q925">
        <v>3.4</v>
      </c>
      <c r="R925">
        <v>239.86</v>
      </c>
    </row>
    <row r="926" spans="1:18" x14ac:dyDescent="0.3">
      <c r="A926" t="s">
        <v>1880</v>
      </c>
      <c r="B926" t="s">
        <v>1881</v>
      </c>
      <c r="C926" t="s">
        <v>29</v>
      </c>
      <c r="D926" t="s">
        <v>30</v>
      </c>
      <c r="E926" t="s">
        <v>38</v>
      </c>
      <c r="F926" s="1">
        <v>45600</v>
      </c>
      <c r="G926" s="1">
        <v>45644</v>
      </c>
      <c r="H926">
        <v>217584</v>
      </c>
      <c r="I926">
        <v>8289</v>
      </c>
      <c r="J926">
        <v>496</v>
      </c>
      <c r="K926">
        <v>17008.88</v>
      </c>
      <c r="L926">
        <v>43685.32</v>
      </c>
      <c r="M926">
        <v>3.81</v>
      </c>
      <c r="N926">
        <v>5.99</v>
      </c>
      <c r="O926">
        <v>2.0499999999999998</v>
      </c>
      <c r="P926">
        <v>34.29</v>
      </c>
      <c r="Q926">
        <v>2.57</v>
      </c>
      <c r="R926">
        <v>156.84</v>
      </c>
    </row>
    <row r="927" spans="1:18" x14ac:dyDescent="0.3">
      <c r="A927" t="s">
        <v>1882</v>
      </c>
      <c r="B927" t="s">
        <v>1883</v>
      </c>
      <c r="C927" t="s">
        <v>29</v>
      </c>
      <c r="D927" t="s">
        <v>21</v>
      </c>
      <c r="E927" t="s">
        <v>38</v>
      </c>
      <c r="F927" s="1">
        <v>45404</v>
      </c>
      <c r="G927" s="1">
        <v>45442</v>
      </c>
      <c r="H927">
        <v>54817</v>
      </c>
      <c r="I927">
        <v>1704</v>
      </c>
      <c r="J927">
        <v>73</v>
      </c>
      <c r="K927">
        <v>5170.51</v>
      </c>
      <c r="L927">
        <v>32279.52</v>
      </c>
      <c r="M927">
        <v>3.11</v>
      </c>
      <c r="N927">
        <v>4.3</v>
      </c>
      <c r="O927">
        <v>3.03</v>
      </c>
      <c r="P927">
        <v>70.83</v>
      </c>
      <c r="Q927">
        <v>6.24</v>
      </c>
      <c r="R927">
        <v>524.29999999999995</v>
      </c>
    </row>
    <row r="928" spans="1:18" x14ac:dyDescent="0.3">
      <c r="A928" t="s">
        <v>1884</v>
      </c>
      <c r="B928" t="s">
        <v>1885</v>
      </c>
      <c r="C928" t="s">
        <v>25</v>
      </c>
      <c r="D928" t="s">
        <v>34</v>
      </c>
      <c r="E928" t="s">
        <v>31</v>
      </c>
      <c r="F928" s="1">
        <v>45598</v>
      </c>
      <c r="G928" s="1">
        <v>45625</v>
      </c>
      <c r="H928">
        <v>198579</v>
      </c>
      <c r="I928">
        <v>2085</v>
      </c>
      <c r="J928">
        <v>201</v>
      </c>
      <c r="K928">
        <v>16820.669999999998</v>
      </c>
      <c r="L928">
        <v>86851.02</v>
      </c>
      <c r="M928">
        <v>1.05</v>
      </c>
      <c r="N928">
        <v>9.66</v>
      </c>
      <c r="O928">
        <v>8.07</v>
      </c>
      <c r="P928">
        <v>83.68</v>
      </c>
      <c r="Q928">
        <v>5.16</v>
      </c>
      <c r="R928">
        <v>416.34</v>
      </c>
    </row>
    <row r="929" spans="1:18" x14ac:dyDescent="0.3">
      <c r="A929" t="s">
        <v>1886</v>
      </c>
      <c r="B929" t="s">
        <v>1887</v>
      </c>
      <c r="C929" t="s">
        <v>44</v>
      </c>
      <c r="D929" t="s">
        <v>21</v>
      </c>
      <c r="E929" t="s">
        <v>22</v>
      </c>
      <c r="F929" s="1">
        <v>45484</v>
      </c>
      <c r="G929" s="1">
        <v>45494</v>
      </c>
      <c r="H929">
        <v>494422</v>
      </c>
      <c r="I929">
        <v>15030</v>
      </c>
      <c r="J929">
        <v>476</v>
      </c>
      <c r="K929">
        <v>12858.59</v>
      </c>
      <c r="L929">
        <v>54361.17</v>
      </c>
      <c r="M929">
        <v>3.04</v>
      </c>
      <c r="N929">
        <v>3.17</v>
      </c>
      <c r="O929">
        <v>0.86</v>
      </c>
      <c r="P929">
        <v>27.01</v>
      </c>
      <c r="Q929">
        <v>4.2300000000000004</v>
      </c>
      <c r="R929">
        <v>322.76</v>
      </c>
    </row>
    <row r="930" spans="1:18" x14ac:dyDescent="0.3">
      <c r="A930" t="s">
        <v>1888</v>
      </c>
      <c r="B930" t="s">
        <v>1889</v>
      </c>
      <c r="C930" t="s">
        <v>44</v>
      </c>
      <c r="D930" t="s">
        <v>34</v>
      </c>
      <c r="E930" t="s">
        <v>41</v>
      </c>
      <c r="F930" s="1">
        <v>45383</v>
      </c>
      <c r="G930" s="1">
        <v>45421</v>
      </c>
      <c r="H930">
        <v>494632</v>
      </c>
      <c r="I930">
        <v>15333</v>
      </c>
      <c r="J930">
        <v>665</v>
      </c>
      <c r="K930">
        <v>11255.09</v>
      </c>
      <c r="L930">
        <v>25172.55</v>
      </c>
      <c r="M930">
        <v>3.1</v>
      </c>
      <c r="N930">
        <v>4.34</v>
      </c>
      <c r="O930">
        <v>0.73</v>
      </c>
      <c r="P930">
        <v>16.920000000000002</v>
      </c>
      <c r="Q930">
        <v>2.2400000000000002</v>
      </c>
      <c r="R930">
        <v>123.65</v>
      </c>
    </row>
    <row r="931" spans="1:18" x14ac:dyDescent="0.3">
      <c r="A931" t="s">
        <v>1890</v>
      </c>
      <c r="B931" t="s">
        <v>1891</v>
      </c>
      <c r="C931" t="s">
        <v>25</v>
      </c>
      <c r="D931" t="s">
        <v>57</v>
      </c>
      <c r="E931" t="s">
        <v>41</v>
      </c>
      <c r="F931" s="1">
        <v>45492</v>
      </c>
      <c r="G931" s="1">
        <v>45524</v>
      </c>
      <c r="H931">
        <v>61306</v>
      </c>
      <c r="I931">
        <v>1060</v>
      </c>
      <c r="J931">
        <v>78</v>
      </c>
      <c r="K931">
        <v>14846.38</v>
      </c>
      <c r="L931">
        <v>95854.38</v>
      </c>
      <c r="M931">
        <v>1.73</v>
      </c>
      <c r="N931">
        <v>7.36</v>
      </c>
      <c r="O931">
        <v>14.01</v>
      </c>
      <c r="P931">
        <v>190.34</v>
      </c>
      <c r="Q931">
        <v>6.46</v>
      </c>
      <c r="R931">
        <v>545.64</v>
      </c>
    </row>
    <row r="932" spans="1:18" x14ac:dyDescent="0.3">
      <c r="A932" t="s">
        <v>1892</v>
      </c>
      <c r="B932" t="s">
        <v>1893</v>
      </c>
      <c r="C932" t="s">
        <v>20</v>
      </c>
      <c r="D932" t="s">
        <v>57</v>
      </c>
      <c r="E932" t="s">
        <v>22</v>
      </c>
      <c r="F932" s="1">
        <v>45457</v>
      </c>
      <c r="G932" s="1">
        <v>45501</v>
      </c>
      <c r="H932">
        <v>415101</v>
      </c>
      <c r="I932">
        <v>25694</v>
      </c>
      <c r="J932">
        <v>2109</v>
      </c>
      <c r="K932">
        <v>15960.2</v>
      </c>
      <c r="L932">
        <v>38909.980000000003</v>
      </c>
      <c r="M932">
        <v>6.19</v>
      </c>
      <c r="N932">
        <v>8.2100000000000009</v>
      </c>
      <c r="O932">
        <v>0.62</v>
      </c>
      <c r="P932">
        <v>7.57</v>
      </c>
      <c r="Q932">
        <v>2.44</v>
      </c>
      <c r="R932">
        <v>143.79</v>
      </c>
    </row>
    <row r="933" spans="1:18" x14ac:dyDescent="0.3">
      <c r="A933" t="s">
        <v>1894</v>
      </c>
      <c r="B933" t="s">
        <v>1895</v>
      </c>
      <c r="C933" t="s">
        <v>20</v>
      </c>
      <c r="D933" t="s">
        <v>57</v>
      </c>
      <c r="E933" t="s">
        <v>38</v>
      </c>
      <c r="F933" s="1">
        <v>45366</v>
      </c>
      <c r="G933" s="1">
        <v>45386</v>
      </c>
      <c r="H933">
        <v>393216</v>
      </c>
      <c r="I933">
        <v>12386</v>
      </c>
      <c r="J933">
        <v>598</v>
      </c>
      <c r="K933">
        <v>18919.11</v>
      </c>
      <c r="L933">
        <v>62619.74</v>
      </c>
      <c r="M933">
        <v>3.15</v>
      </c>
      <c r="N933">
        <v>4.83</v>
      </c>
      <c r="O933">
        <v>1.53</v>
      </c>
      <c r="P933">
        <v>31.64</v>
      </c>
      <c r="Q933">
        <v>3.31</v>
      </c>
      <c r="R933">
        <v>230.99</v>
      </c>
    </row>
    <row r="934" spans="1:18" x14ac:dyDescent="0.3">
      <c r="A934" t="s">
        <v>1896</v>
      </c>
      <c r="B934" t="s">
        <v>1897</v>
      </c>
      <c r="C934" t="s">
        <v>29</v>
      </c>
      <c r="D934" t="s">
        <v>34</v>
      </c>
      <c r="E934" t="s">
        <v>26</v>
      </c>
      <c r="F934" s="1">
        <v>45367</v>
      </c>
      <c r="G934" s="1">
        <v>45398</v>
      </c>
      <c r="H934">
        <v>239910</v>
      </c>
      <c r="I934">
        <v>8828</v>
      </c>
      <c r="J934">
        <v>430</v>
      </c>
      <c r="K934">
        <v>13174.77</v>
      </c>
      <c r="L934">
        <v>84953.27</v>
      </c>
      <c r="M934">
        <v>3.68</v>
      </c>
      <c r="N934">
        <v>4.88</v>
      </c>
      <c r="O934">
        <v>1.49</v>
      </c>
      <c r="P934">
        <v>30.64</v>
      </c>
      <c r="Q934">
        <v>6.45</v>
      </c>
      <c r="R934">
        <v>544.82000000000005</v>
      </c>
    </row>
    <row r="935" spans="1:18" x14ac:dyDescent="0.3">
      <c r="A935" t="s">
        <v>1898</v>
      </c>
      <c r="B935" t="s">
        <v>1899</v>
      </c>
      <c r="C935" t="s">
        <v>25</v>
      </c>
      <c r="D935" t="s">
        <v>34</v>
      </c>
      <c r="E935" t="s">
        <v>26</v>
      </c>
      <c r="F935" s="1">
        <v>45555</v>
      </c>
      <c r="G935" s="1">
        <v>45583</v>
      </c>
      <c r="H935">
        <v>100356</v>
      </c>
      <c r="I935">
        <v>1404</v>
      </c>
      <c r="J935">
        <v>116</v>
      </c>
      <c r="K935">
        <v>19121.009999999998</v>
      </c>
      <c r="L935">
        <v>48339.08</v>
      </c>
      <c r="M935">
        <v>1.4</v>
      </c>
      <c r="N935">
        <v>8.32</v>
      </c>
      <c r="O935">
        <v>13.62</v>
      </c>
      <c r="P935">
        <v>164.84</v>
      </c>
      <c r="Q935">
        <v>2.5299999999999998</v>
      </c>
      <c r="R935">
        <v>152.81</v>
      </c>
    </row>
    <row r="936" spans="1:18" x14ac:dyDescent="0.3">
      <c r="A936" t="s">
        <v>1900</v>
      </c>
      <c r="B936" t="s">
        <v>1901</v>
      </c>
      <c r="C936" t="s">
        <v>37</v>
      </c>
      <c r="D936" t="s">
        <v>30</v>
      </c>
      <c r="E936" t="s">
        <v>41</v>
      </c>
      <c r="F936" s="1">
        <v>45446</v>
      </c>
      <c r="G936" s="1">
        <v>45491</v>
      </c>
      <c r="H936">
        <v>378714</v>
      </c>
      <c r="I936">
        <v>31584</v>
      </c>
      <c r="J936">
        <v>3300</v>
      </c>
      <c r="K936">
        <v>1034.6099999999999</v>
      </c>
      <c r="L936">
        <v>3915.9</v>
      </c>
      <c r="M936">
        <v>8.34</v>
      </c>
      <c r="N936">
        <v>10.45</v>
      </c>
      <c r="O936">
        <v>0.03</v>
      </c>
      <c r="P936">
        <v>0.31</v>
      </c>
      <c r="Q936">
        <v>3.78</v>
      </c>
      <c r="R936">
        <v>278.49</v>
      </c>
    </row>
    <row r="937" spans="1:18" x14ac:dyDescent="0.3">
      <c r="A937" t="s">
        <v>1902</v>
      </c>
      <c r="B937" t="s">
        <v>1903</v>
      </c>
      <c r="C937" t="s">
        <v>29</v>
      </c>
      <c r="D937" t="s">
        <v>30</v>
      </c>
      <c r="E937" t="s">
        <v>26</v>
      </c>
      <c r="F937" s="1">
        <v>45519</v>
      </c>
      <c r="G937" s="1">
        <v>45549</v>
      </c>
      <c r="H937">
        <v>457754</v>
      </c>
      <c r="I937">
        <v>13229</v>
      </c>
      <c r="J937">
        <v>805</v>
      </c>
      <c r="K937">
        <v>8731.51</v>
      </c>
      <c r="L937">
        <v>42308.54</v>
      </c>
      <c r="M937">
        <v>2.89</v>
      </c>
      <c r="N937">
        <v>6.09</v>
      </c>
      <c r="O937">
        <v>0.66</v>
      </c>
      <c r="P937">
        <v>10.85</v>
      </c>
      <c r="Q937">
        <v>4.8499999999999996</v>
      </c>
      <c r="R937">
        <v>384.55</v>
      </c>
    </row>
    <row r="938" spans="1:18" x14ac:dyDescent="0.3">
      <c r="A938" t="s">
        <v>1904</v>
      </c>
      <c r="B938" t="s">
        <v>1905</v>
      </c>
      <c r="C938" t="s">
        <v>20</v>
      </c>
      <c r="D938" t="s">
        <v>21</v>
      </c>
      <c r="E938" t="s">
        <v>26</v>
      </c>
      <c r="F938" s="1">
        <v>45592</v>
      </c>
      <c r="G938" s="1">
        <v>45635</v>
      </c>
      <c r="H938">
        <v>93325</v>
      </c>
      <c r="I938">
        <v>2790</v>
      </c>
      <c r="J938">
        <v>219</v>
      </c>
      <c r="K938">
        <v>23169.57</v>
      </c>
      <c r="L938">
        <v>69791.56</v>
      </c>
      <c r="M938">
        <v>2.99</v>
      </c>
      <c r="N938">
        <v>7.85</v>
      </c>
      <c r="O938">
        <v>8.3000000000000007</v>
      </c>
      <c r="P938">
        <v>105.8</v>
      </c>
      <c r="Q938">
        <v>3.01</v>
      </c>
      <c r="R938">
        <v>201.22</v>
      </c>
    </row>
    <row r="939" spans="1:18" x14ac:dyDescent="0.3">
      <c r="A939" t="s">
        <v>1906</v>
      </c>
      <c r="B939" t="s">
        <v>1907</v>
      </c>
      <c r="C939" t="s">
        <v>37</v>
      </c>
      <c r="D939" t="s">
        <v>30</v>
      </c>
      <c r="E939" t="s">
        <v>22</v>
      </c>
      <c r="F939" s="1">
        <v>45622</v>
      </c>
      <c r="G939" s="1">
        <v>45656</v>
      </c>
      <c r="H939">
        <v>413712</v>
      </c>
      <c r="I939">
        <v>35041</v>
      </c>
      <c r="J939">
        <v>5585</v>
      </c>
      <c r="K939">
        <v>1314.93</v>
      </c>
      <c r="L939">
        <v>5494.91</v>
      </c>
      <c r="M939">
        <v>8.4700000000000006</v>
      </c>
      <c r="N939">
        <v>15.94</v>
      </c>
      <c r="O939">
        <v>0.04</v>
      </c>
      <c r="P939">
        <v>0.24</v>
      </c>
      <c r="Q939">
        <v>4.18</v>
      </c>
      <c r="R939">
        <v>317.89</v>
      </c>
    </row>
    <row r="940" spans="1:18" x14ac:dyDescent="0.3">
      <c r="A940" t="s">
        <v>1908</v>
      </c>
      <c r="B940" t="s">
        <v>1909</v>
      </c>
      <c r="C940" t="s">
        <v>44</v>
      </c>
      <c r="D940" t="s">
        <v>34</v>
      </c>
      <c r="E940" t="s">
        <v>26</v>
      </c>
      <c r="F940" s="1">
        <v>45302</v>
      </c>
      <c r="G940" s="1">
        <v>45334</v>
      </c>
      <c r="H940">
        <v>220513</v>
      </c>
      <c r="I940">
        <v>3021</v>
      </c>
      <c r="J940">
        <v>141</v>
      </c>
      <c r="K940">
        <v>12440.31</v>
      </c>
      <c r="L940">
        <v>35231.01</v>
      </c>
      <c r="M940">
        <v>1.37</v>
      </c>
      <c r="N940">
        <v>4.68</v>
      </c>
      <c r="O940">
        <v>4.12</v>
      </c>
      <c r="P940">
        <v>88.23</v>
      </c>
      <c r="Q940">
        <v>2.83</v>
      </c>
      <c r="R940">
        <v>183.2</v>
      </c>
    </row>
    <row r="941" spans="1:18" x14ac:dyDescent="0.3">
      <c r="A941" t="s">
        <v>1910</v>
      </c>
      <c r="B941" t="s">
        <v>1911</v>
      </c>
      <c r="C941" t="s">
        <v>37</v>
      </c>
      <c r="D941" t="s">
        <v>30</v>
      </c>
      <c r="E941" t="s">
        <v>26</v>
      </c>
      <c r="F941" s="1">
        <v>45398</v>
      </c>
      <c r="G941" s="1">
        <v>45412</v>
      </c>
      <c r="H941">
        <v>322053</v>
      </c>
      <c r="I941">
        <v>29049</v>
      </c>
      <c r="J941">
        <v>3889</v>
      </c>
      <c r="K941">
        <v>4184.72</v>
      </c>
      <c r="L941">
        <v>20641.77</v>
      </c>
      <c r="M941">
        <v>9.02</v>
      </c>
      <c r="N941">
        <v>13.39</v>
      </c>
      <c r="O941">
        <v>0.14000000000000001</v>
      </c>
      <c r="P941">
        <v>1.08</v>
      </c>
      <c r="Q941">
        <v>4.93</v>
      </c>
      <c r="R941">
        <v>393.27</v>
      </c>
    </row>
    <row r="942" spans="1:18" x14ac:dyDescent="0.3">
      <c r="A942" t="s">
        <v>1912</v>
      </c>
      <c r="B942" t="s">
        <v>1913</v>
      </c>
      <c r="C942" t="s">
        <v>29</v>
      </c>
      <c r="D942" t="s">
        <v>34</v>
      </c>
      <c r="E942" t="s">
        <v>26</v>
      </c>
      <c r="F942" s="1">
        <v>45374</v>
      </c>
      <c r="G942" s="1">
        <v>45386</v>
      </c>
      <c r="H942">
        <v>340833</v>
      </c>
      <c r="I942">
        <v>9679</v>
      </c>
      <c r="J942">
        <v>345</v>
      </c>
      <c r="K942">
        <v>3587.15</v>
      </c>
      <c r="L942">
        <v>16457.36</v>
      </c>
      <c r="M942">
        <v>2.84</v>
      </c>
      <c r="N942">
        <v>3.57</v>
      </c>
      <c r="O942">
        <v>0.37</v>
      </c>
      <c r="P942">
        <v>10.4</v>
      </c>
      <c r="Q942">
        <v>4.59</v>
      </c>
      <c r="R942">
        <v>358.79</v>
      </c>
    </row>
    <row r="943" spans="1:18" x14ac:dyDescent="0.3">
      <c r="A943" t="s">
        <v>1914</v>
      </c>
      <c r="B943" t="s">
        <v>1915</v>
      </c>
      <c r="C943" t="s">
        <v>37</v>
      </c>
      <c r="D943" t="s">
        <v>57</v>
      </c>
      <c r="E943" t="s">
        <v>26</v>
      </c>
      <c r="F943" s="1">
        <v>45508</v>
      </c>
      <c r="G943" s="1">
        <v>45515</v>
      </c>
      <c r="H943">
        <v>94360</v>
      </c>
      <c r="I943">
        <v>9322</v>
      </c>
      <c r="J943">
        <v>1217</v>
      </c>
      <c r="K943">
        <v>2136.02</v>
      </c>
      <c r="L943">
        <v>9505.1200000000008</v>
      </c>
      <c r="M943">
        <v>9.8800000000000008</v>
      </c>
      <c r="N943">
        <v>13.06</v>
      </c>
      <c r="O943">
        <v>0.23</v>
      </c>
      <c r="P943">
        <v>1.76</v>
      </c>
      <c r="Q943">
        <v>4.45</v>
      </c>
      <c r="R943">
        <v>344.99</v>
      </c>
    </row>
    <row r="944" spans="1:18" x14ac:dyDescent="0.3">
      <c r="A944" t="s">
        <v>1916</v>
      </c>
      <c r="B944" t="s">
        <v>1917</v>
      </c>
      <c r="C944" t="s">
        <v>29</v>
      </c>
      <c r="D944" t="s">
        <v>57</v>
      </c>
      <c r="E944" t="s">
        <v>26</v>
      </c>
      <c r="F944" s="1">
        <v>45543</v>
      </c>
      <c r="G944" s="1">
        <v>45570</v>
      </c>
      <c r="H944">
        <v>322337</v>
      </c>
      <c r="I944">
        <v>13570</v>
      </c>
      <c r="J944">
        <v>470</v>
      </c>
      <c r="K944">
        <v>11011.54</v>
      </c>
      <c r="L944">
        <v>28953.17</v>
      </c>
      <c r="M944">
        <v>4.21</v>
      </c>
      <c r="N944">
        <v>3.47</v>
      </c>
      <c r="O944">
        <v>0.81</v>
      </c>
      <c r="P944">
        <v>23.43</v>
      </c>
      <c r="Q944">
        <v>2.63</v>
      </c>
      <c r="R944">
        <v>162.93</v>
      </c>
    </row>
    <row r="945" spans="1:18" x14ac:dyDescent="0.3">
      <c r="A945" t="s">
        <v>1918</v>
      </c>
      <c r="B945" t="s">
        <v>1919</v>
      </c>
      <c r="C945" t="s">
        <v>37</v>
      </c>
      <c r="D945" t="s">
        <v>57</v>
      </c>
      <c r="E945" t="s">
        <v>31</v>
      </c>
      <c r="F945" s="1">
        <v>45310</v>
      </c>
      <c r="G945" s="1">
        <v>45329</v>
      </c>
      <c r="H945">
        <v>332176</v>
      </c>
      <c r="I945">
        <v>23451</v>
      </c>
      <c r="J945">
        <v>3489</v>
      </c>
      <c r="K945">
        <v>3481.78</v>
      </c>
      <c r="L945">
        <v>7664.48</v>
      </c>
      <c r="M945">
        <v>7.06</v>
      </c>
      <c r="N945">
        <v>14.88</v>
      </c>
      <c r="O945">
        <v>0.15</v>
      </c>
      <c r="P945">
        <v>1</v>
      </c>
      <c r="Q945">
        <v>2.2000000000000002</v>
      </c>
      <c r="R945">
        <v>120.13</v>
      </c>
    </row>
    <row r="946" spans="1:18" x14ac:dyDescent="0.3">
      <c r="A946" t="s">
        <v>1920</v>
      </c>
      <c r="B946" t="s">
        <v>1921</v>
      </c>
      <c r="C946" t="s">
        <v>29</v>
      </c>
      <c r="D946" t="s">
        <v>57</v>
      </c>
      <c r="E946" t="s">
        <v>41</v>
      </c>
      <c r="F946" s="1">
        <v>45610</v>
      </c>
      <c r="G946" s="1">
        <v>45644</v>
      </c>
      <c r="H946">
        <v>120363</v>
      </c>
      <c r="I946">
        <v>3984</v>
      </c>
      <c r="J946">
        <v>122</v>
      </c>
      <c r="K946">
        <v>8385.98</v>
      </c>
      <c r="L946">
        <v>21620.86</v>
      </c>
      <c r="M946">
        <v>3.31</v>
      </c>
      <c r="N946">
        <v>3.08</v>
      </c>
      <c r="O946">
        <v>2.1</v>
      </c>
      <c r="P946">
        <v>68.739999999999995</v>
      </c>
      <c r="Q946">
        <v>2.58</v>
      </c>
      <c r="R946">
        <v>157.82</v>
      </c>
    </row>
    <row r="947" spans="1:18" x14ac:dyDescent="0.3">
      <c r="A947" t="s">
        <v>1922</v>
      </c>
      <c r="B947" t="s">
        <v>1923</v>
      </c>
      <c r="C947" t="s">
        <v>20</v>
      </c>
      <c r="D947" t="s">
        <v>57</v>
      </c>
      <c r="E947" t="s">
        <v>22</v>
      </c>
      <c r="F947" s="1">
        <v>45509</v>
      </c>
      <c r="G947" s="1">
        <v>45525</v>
      </c>
      <c r="H947">
        <v>250163</v>
      </c>
      <c r="I947">
        <v>12758</v>
      </c>
      <c r="J947">
        <v>635</v>
      </c>
      <c r="K947">
        <v>14121.35</v>
      </c>
      <c r="L947">
        <v>88277.25</v>
      </c>
      <c r="M947">
        <v>5.0999999999999996</v>
      </c>
      <c r="N947">
        <v>4.9800000000000004</v>
      </c>
      <c r="O947">
        <v>1.1100000000000001</v>
      </c>
      <c r="P947">
        <v>22.24</v>
      </c>
      <c r="Q947">
        <v>6.25</v>
      </c>
      <c r="R947">
        <v>525.13</v>
      </c>
    </row>
    <row r="948" spans="1:18" x14ac:dyDescent="0.3">
      <c r="A948" t="s">
        <v>1924</v>
      </c>
      <c r="B948" t="s">
        <v>1925</v>
      </c>
      <c r="C948" t="s">
        <v>37</v>
      </c>
      <c r="D948" t="s">
        <v>34</v>
      </c>
      <c r="E948" t="s">
        <v>26</v>
      </c>
      <c r="F948" s="1">
        <v>45482</v>
      </c>
      <c r="G948" s="1">
        <v>45525</v>
      </c>
      <c r="H948">
        <v>380075</v>
      </c>
      <c r="I948">
        <v>31926</v>
      </c>
      <c r="J948">
        <v>5730</v>
      </c>
      <c r="K948">
        <v>3635.61</v>
      </c>
      <c r="L948">
        <v>10422.65</v>
      </c>
      <c r="M948">
        <v>8.4</v>
      </c>
      <c r="N948">
        <v>17.95</v>
      </c>
      <c r="O948">
        <v>0.11</v>
      </c>
      <c r="P948">
        <v>0.63</v>
      </c>
      <c r="Q948">
        <v>2.87</v>
      </c>
      <c r="R948">
        <v>186.68</v>
      </c>
    </row>
    <row r="949" spans="1:18" x14ac:dyDescent="0.3">
      <c r="A949" t="s">
        <v>1926</v>
      </c>
      <c r="B949" t="s">
        <v>1927</v>
      </c>
      <c r="C949" t="s">
        <v>37</v>
      </c>
      <c r="D949" t="s">
        <v>34</v>
      </c>
      <c r="E949" t="s">
        <v>38</v>
      </c>
      <c r="F949" s="1">
        <v>45601</v>
      </c>
      <c r="G949" s="1">
        <v>45623</v>
      </c>
      <c r="H949">
        <v>480738</v>
      </c>
      <c r="I949">
        <v>23652</v>
      </c>
      <c r="J949">
        <v>4238</v>
      </c>
      <c r="K949">
        <v>2451.3200000000002</v>
      </c>
      <c r="L949">
        <v>5188.45</v>
      </c>
      <c r="M949">
        <v>4.92</v>
      </c>
      <c r="N949">
        <v>17.920000000000002</v>
      </c>
      <c r="O949">
        <v>0.1</v>
      </c>
      <c r="P949">
        <v>0.57999999999999996</v>
      </c>
      <c r="Q949">
        <v>2.12</v>
      </c>
      <c r="R949">
        <v>111.66</v>
      </c>
    </row>
    <row r="950" spans="1:18" x14ac:dyDescent="0.3">
      <c r="A950" t="s">
        <v>1928</v>
      </c>
      <c r="B950" t="s">
        <v>1929</v>
      </c>
      <c r="C950" t="s">
        <v>20</v>
      </c>
      <c r="D950" t="s">
        <v>57</v>
      </c>
      <c r="E950" t="s">
        <v>26</v>
      </c>
      <c r="F950" s="1">
        <v>45477</v>
      </c>
      <c r="G950" s="1">
        <v>45505</v>
      </c>
      <c r="H950">
        <v>328643</v>
      </c>
      <c r="I950">
        <v>9662</v>
      </c>
      <c r="J950">
        <v>704</v>
      </c>
      <c r="K950">
        <v>6319.19</v>
      </c>
      <c r="L950">
        <v>30842.69</v>
      </c>
      <c r="M950">
        <v>2.94</v>
      </c>
      <c r="N950">
        <v>7.29</v>
      </c>
      <c r="O950">
        <v>0.65</v>
      </c>
      <c r="P950">
        <v>8.98</v>
      </c>
      <c r="Q950">
        <v>4.88</v>
      </c>
      <c r="R950">
        <v>388.08</v>
      </c>
    </row>
    <row r="951" spans="1:18" x14ac:dyDescent="0.3">
      <c r="A951" t="s">
        <v>1930</v>
      </c>
      <c r="B951" t="s">
        <v>1931</v>
      </c>
      <c r="C951" t="s">
        <v>44</v>
      </c>
      <c r="D951" t="s">
        <v>34</v>
      </c>
      <c r="E951" t="s">
        <v>41</v>
      </c>
      <c r="F951" s="1">
        <v>45345</v>
      </c>
      <c r="G951" s="1">
        <v>45359</v>
      </c>
      <c r="H951">
        <v>193469</v>
      </c>
      <c r="I951">
        <v>2379</v>
      </c>
      <c r="J951">
        <v>67</v>
      </c>
      <c r="K951">
        <v>14609.67</v>
      </c>
      <c r="L951">
        <v>54111.96</v>
      </c>
      <c r="M951">
        <v>1.23</v>
      </c>
      <c r="N951">
        <v>2.82</v>
      </c>
      <c r="O951">
        <v>6.14</v>
      </c>
      <c r="P951">
        <v>218.05</v>
      </c>
      <c r="Q951">
        <v>3.7</v>
      </c>
      <c r="R951">
        <v>270.38</v>
      </c>
    </row>
    <row r="952" spans="1:18" x14ac:dyDescent="0.3">
      <c r="A952" t="s">
        <v>1932</v>
      </c>
      <c r="B952" t="s">
        <v>1933</v>
      </c>
      <c r="C952" t="s">
        <v>29</v>
      </c>
      <c r="D952" t="s">
        <v>57</v>
      </c>
      <c r="E952" t="s">
        <v>31</v>
      </c>
      <c r="F952" s="1">
        <v>45436</v>
      </c>
      <c r="G952" s="1">
        <v>45478</v>
      </c>
      <c r="H952">
        <v>480620</v>
      </c>
      <c r="I952">
        <v>18840</v>
      </c>
      <c r="J952">
        <v>467</v>
      </c>
      <c r="K952">
        <v>8233.5</v>
      </c>
      <c r="L952">
        <v>37665.89</v>
      </c>
      <c r="M952">
        <v>3.92</v>
      </c>
      <c r="N952">
        <v>2.48</v>
      </c>
      <c r="O952">
        <v>0.44</v>
      </c>
      <c r="P952">
        <v>17.63</v>
      </c>
      <c r="Q952">
        <v>4.57</v>
      </c>
      <c r="R952">
        <v>357.47</v>
      </c>
    </row>
    <row r="953" spans="1:18" x14ac:dyDescent="0.3">
      <c r="A953" t="s">
        <v>1934</v>
      </c>
      <c r="B953" t="s">
        <v>1935</v>
      </c>
      <c r="C953" t="s">
        <v>44</v>
      </c>
      <c r="D953" t="s">
        <v>21</v>
      </c>
      <c r="E953" t="s">
        <v>26</v>
      </c>
      <c r="F953" s="1">
        <v>45564</v>
      </c>
      <c r="G953" s="1">
        <v>45606</v>
      </c>
      <c r="H953">
        <v>139520</v>
      </c>
      <c r="I953">
        <v>2832</v>
      </c>
      <c r="J953">
        <v>116</v>
      </c>
      <c r="K953">
        <v>4758.41</v>
      </c>
      <c r="L953">
        <v>26777.39</v>
      </c>
      <c r="M953">
        <v>2.0299999999999998</v>
      </c>
      <c r="N953">
        <v>4.13</v>
      </c>
      <c r="O953">
        <v>1.68</v>
      </c>
      <c r="P953">
        <v>41.02</v>
      </c>
      <c r="Q953">
        <v>5.63</v>
      </c>
      <c r="R953">
        <v>462.74</v>
      </c>
    </row>
    <row r="954" spans="1:18" x14ac:dyDescent="0.3">
      <c r="A954" t="s">
        <v>1936</v>
      </c>
      <c r="B954" t="s">
        <v>1937</v>
      </c>
      <c r="C954" t="s">
        <v>37</v>
      </c>
      <c r="D954" t="s">
        <v>30</v>
      </c>
      <c r="E954" t="s">
        <v>38</v>
      </c>
      <c r="F954" s="1">
        <v>45356</v>
      </c>
      <c r="G954" s="1">
        <v>45372</v>
      </c>
      <c r="H954">
        <v>360541</v>
      </c>
      <c r="I954">
        <v>17197</v>
      </c>
      <c r="J954">
        <v>1391</v>
      </c>
      <c r="K954">
        <v>2811.04</v>
      </c>
      <c r="L954">
        <v>7588.99</v>
      </c>
      <c r="M954">
        <v>4.7699999999999996</v>
      </c>
      <c r="N954">
        <v>8.09</v>
      </c>
      <c r="O954">
        <v>0.16</v>
      </c>
      <c r="P954">
        <v>2.02</v>
      </c>
      <c r="Q954">
        <v>2.7</v>
      </c>
      <c r="R954">
        <v>169.97</v>
      </c>
    </row>
    <row r="955" spans="1:18" x14ac:dyDescent="0.3">
      <c r="A955" t="s">
        <v>1938</v>
      </c>
      <c r="B955" t="s">
        <v>1939</v>
      </c>
      <c r="C955" t="s">
        <v>25</v>
      </c>
      <c r="D955" t="s">
        <v>57</v>
      </c>
      <c r="E955" t="s">
        <v>26</v>
      </c>
      <c r="F955" s="1">
        <v>45506</v>
      </c>
      <c r="G955" s="1">
        <v>45542</v>
      </c>
      <c r="H955">
        <v>430328</v>
      </c>
      <c r="I955">
        <v>8133</v>
      </c>
      <c r="J955">
        <v>617</v>
      </c>
      <c r="K955">
        <v>16440.45</v>
      </c>
      <c r="L955">
        <v>83056.639999999999</v>
      </c>
      <c r="M955">
        <v>1.89</v>
      </c>
      <c r="N955">
        <v>7.59</v>
      </c>
      <c r="O955">
        <v>2.02</v>
      </c>
      <c r="P955">
        <v>26.65</v>
      </c>
      <c r="Q955">
        <v>5.05</v>
      </c>
      <c r="R955">
        <v>405.2</v>
      </c>
    </row>
    <row r="956" spans="1:18" x14ac:dyDescent="0.3">
      <c r="A956" t="s">
        <v>1940</v>
      </c>
      <c r="B956" t="s">
        <v>1941</v>
      </c>
      <c r="C956" t="s">
        <v>29</v>
      </c>
      <c r="D956" t="s">
        <v>30</v>
      </c>
      <c r="E956" t="s">
        <v>22</v>
      </c>
      <c r="F956" s="1">
        <v>45409</v>
      </c>
      <c r="G956" s="1">
        <v>45435</v>
      </c>
      <c r="H956">
        <v>468627</v>
      </c>
      <c r="I956">
        <v>13637</v>
      </c>
      <c r="J956">
        <v>467</v>
      </c>
      <c r="K956">
        <v>17289.240000000002</v>
      </c>
      <c r="L956">
        <v>75081.570000000007</v>
      </c>
      <c r="M956">
        <v>2.91</v>
      </c>
      <c r="N956">
        <v>3.43</v>
      </c>
      <c r="O956">
        <v>1.27</v>
      </c>
      <c r="P956">
        <v>37.020000000000003</v>
      </c>
      <c r="Q956">
        <v>4.34</v>
      </c>
      <c r="R956">
        <v>334.27</v>
      </c>
    </row>
    <row r="957" spans="1:18" x14ac:dyDescent="0.3">
      <c r="A957" t="s">
        <v>1942</v>
      </c>
      <c r="B957" t="s">
        <v>1943</v>
      </c>
      <c r="C957" t="s">
        <v>20</v>
      </c>
      <c r="D957" t="s">
        <v>57</v>
      </c>
      <c r="E957" t="s">
        <v>38</v>
      </c>
      <c r="F957" s="1">
        <v>45339</v>
      </c>
      <c r="G957" s="1">
        <v>45356</v>
      </c>
      <c r="H957">
        <v>454005</v>
      </c>
      <c r="I957">
        <v>17025</v>
      </c>
      <c r="J957">
        <v>772</v>
      </c>
      <c r="K957">
        <v>6589.5</v>
      </c>
      <c r="L957">
        <v>34824.11</v>
      </c>
      <c r="M957">
        <v>3.75</v>
      </c>
      <c r="N957">
        <v>4.54</v>
      </c>
      <c r="O957">
        <v>0.39</v>
      </c>
      <c r="P957">
        <v>8.5399999999999991</v>
      </c>
      <c r="Q957">
        <v>5.28</v>
      </c>
      <c r="R957">
        <v>428.48</v>
      </c>
    </row>
    <row r="958" spans="1:18" x14ac:dyDescent="0.3">
      <c r="A958" t="s">
        <v>1944</v>
      </c>
      <c r="B958" t="s">
        <v>1945</v>
      </c>
      <c r="C958" t="s">
        <v>37</v>
      </c>
      <c r="D958" t="s">
        <v>21</v>
      </c>
      <c r="E958" t="s">
        <v>26</v>
      </c>
      <c r="F958" s="1">
        <v>45509</v>
      </c>
      <c r="G958" s="1">
        <v>45548</v>
      </c>
      <c r="H958">
        <v>439760</v>
      </c>
      <c r="I958">
        <v>25154</v>
      </c>
      <c r="J958">
        <v>4351</v>
      </c>
      <c r="K958">
        <v>4137.5600000000004</v>
      </c>
      <c r="L958">
        <v>8474.24</v>
      </c>
      <c r="M958">
        <v>5.72</v>
      </c>
      <c r="N958">
        <v>17.3</v>
      </c>
      <c r="O958">
        <v>0.16</v>
      </c>
      <c r="P958">
        <v>0.95</v>
      </c>
      <c r="Q958">
        <v>2.0499999999999998</v>
      </c>
      <c r="R958">
        <v>104.81</v>
      </c>
    </row>
    <row r="959" spans="1:18" x14ac:dyDescent="0.3">
      <c r="A959" t="s">
        <v>1946</v>
      </c>
      <c r="B959" t="s">
        <v>1947</v>
      </c>
      <c r="C959" t="s">
        <v>29</v>
      </c>
      <c r="D959" t="s">
        <v>30</v>
      </c>
      <c r="E959" t="s">
        <v>38</v>
      </c>
      <c r="F959" s="1">
        <v>45299</v>
      </c>
      <c r="G959" s="1">
        <v>45318</v>
      </c>
      <c r="H959">
        <v>320014</v>
      </c>
      <c r="I959">
        <v>11392</v>
      </c>
      <c r="J959">
        <v>612</v>
      </c>
      <c r="K959">
        <v>10986.14</v>
      </c>
      <c r="L959">
        <v>28136.74</v>
      </c>
      <c r="M959">
        <v>3.56</v>
      </c>
      <c r="N959">
        <v>5.38</v>
      </c>
      <c r="O959">
        <v>0.96</v>
      </c>
      <c r="P959">
        <v>17.95</v>
      </c>
      <c r="Q959">
        <v>2.56</v>
      </c>
      <c r="R959">
        <v>156.11000000000001</v>
      </c>
    </row>
    <row r="960" spans="1:18" x14ac:dyDescent="0.3">
      <c r="A960" t="s">
        <v>1948</v>
      </c>
      <c r="B960" t="s">
        <v>1949</v>
      </c>
      <c r="C960" t="s">
        <v>20</v>
      </c>
      <c r="D960" t="s">
        <v>30</v>
      </c>
      <c r="E960" t="s">
        <v>31</v>
      </c>
      <c r="F960" s="1">
        <v>45562</v>
      </c>
      <c r="G960" s="1">
        <v>45607</v>
      </c>
      <c r="H960">
        <v>443041</v>
      </c>
      <c r="I960">
        <v>17189</v>
      </c>
      <c r="J960">
        <v>1713</v>
      </c>
      <c r="K960">
        <v>18223.48</v>
      </c>
      <c r="L960">
        <v>111929.8</v>
      </c>
      <c r="M960">
        <v>3.88</v>
      </c>
      <c r="N960">
        <v>9.9700000000000006</v>
      </c>
      <c r="O960">
        <v>1.06</v>
      </c>
      <c r="P960">
        <v>10.64</v>
      </c>
      <c r="Q960">
        <v>6.14</v>
      </c>
      <c r="R960">
        <v>514.21</v>
      </c>
    </row>
    <row r="961" spans="1:18" x14ac:dyDescent="0.3">
      <c r="A961" t="s">
        <v>1950</v>
      </c>
      <c r="B961" t="s">
        <v>1951</v>
      </c>
      <c r="C961" t="s">
        <v>20</v>
      </c>
      <c r="D961" t="s">
        <v>30</v>
      </c>
      <c r="E961" t="s">
        <v>41</v>
      </c>
      <c r="F961" s="1">
        <v>45479</v>
      </c>
      <c r="G961" s="1">
        <v>45494</v>
      </c>
      <c r="H961">
        <v>403643</v>
      </c>
      <c r="I961">
        <v>25106</v>
      </c>
      <c r="J961">
        <v>2154</v>
      </c>
      <c r="K961">
        <v>23075.97</v>
      </c>
      <c r="L961">
        <v>64304.97</v>
      </c>
      <c r="M961">
        <v>6.22</v>
      </c>
      <c r="N961">
        <v>8.58</v>
      </c>
      <c r="O961">
        <v>0.92</v>
      </c>
      <c r="P961">
        <v>10.71</v>
      </c>
      <c r="Q961">
        <v>2.79</v>
      </c>
      <c r="R961">
        <v>178.67</v>
      </c>
    </row>
    <row r="962" spans="1:18" x14ac:dyDescent="0.3">
      <c r="A962" t="s">
        <v>1952</v>
      </c>
      <c r="B962" t="s">
        <v>1953</v>
      </c>
      <c r="C962" t="s">
        <v>37</v>
      </c>
      <c r="D962" t="s">
        <v>57</v>
      </c>
      <c r="E962" t="s">
        <v>26</v>
      </c>
      <c r="F962" s="1">
        <v>45419</v>
      </c>
      <c r="G962" s="1">
        <v>45460</v>
      </c>
      <c r="H962">
        <v>271628</v>
      </c>
      <c r="I962">
        <v>18932</v>
      </c>
      <c r="J962">
        <v>1836</v>
      </c>
      <c r="K962">
        <v>4863.78</v>
      </c>
      <c r="L962">
        <v>17124.46</v>
      </c>
      <c r="M962">
        <v>6.97</v>
      </c>
      <c r="N962">
        <v>9.6999999999999993</v>
      </c>
      <c r="O962">
        <v>0.26</v>
      </c>
      <c r="P962">
        <v>2.65</v>
      </c>
      <c r="Q962">
        <v>3.52</v>
      </c>
      <c r="R962">
        <v>252.08</v>
      </c>
    </row>
    <row r="963" spans="1:18" x14ac:dyDescent="0.3">
      <c r="A963" t="s">
        <v>1954</v>
      </c>
      <c r="B963" t="s">
        <v>1955</v>
      </c>
      <c r="C963" t="s">
        <v>20</v>
      </c>
      <c r="D963" t="s">
        <v>57</v>
      </c>
      <c r="E963" t="s">
        <v>22</v>
      </c>
      <c r="F963" s="1">
        <v>45403</v>
      </c>
      <c r="G963" s="1">
        <v>45429</v>
      </c>
      <c r="H963">
        <v>303296</v>
      </c>
      <c r="I963">
        <v>11130</v>
      </c>
      <c r="J963">
        <v>587</v>
      </c>
      <c r="K963">
        <v>19760.509999999998</v>
      </c>
      <c r="L963">
        <v>90103.75</v>
      </c>
      <c r="M963">
        <v>3.67</v>
      </c>
      <c r="N963">
        <v>5.28</v>
      </c>
      <c r="O963">
        <v>1.78</v>
      </c>
      <c r="P963">
        <v>33.659999999999997</v>
      </c>
      <c r="Q963">
        <v>4.5599999999999996</v>
      </c>
      <c r="R963">
        <v>355.98</v>
      </c>
    </row>
    <row r="964" spans="1:18" x14ac:dyDescent="0.3">
      <c r="A964" t="s">
        <v>1956</v>
      </c>
      <c r="B964" t="s">
        <v>1957</v>
      </c>
      <c r="C964" t="s">
        <v>37</v>
      </c>
      <c r="D964" t="s">
        <v>21</v>
      </c>
      <c r="E964" t="s">
        <v>38</v>
      </c>
      <c r="F964" s="1">
        <v>45444</v>
      </c>
      <c r="G964" s="1">
        <v>45473</v>
      </c>
      <c r="H964">
        <v>373878</v>
      </c>
      <c r="I964">
        <v>33985</v>
      </c>
      <c r="J964">
        <v>2912</v>
      </c>
      <c r="K964">
        <v>526.51</v>
      </c>
      <c r="L964">
        <v>2143.73</v>
      </c>
      <c r="M964">
        <v>9.09</v>
      </c>
      <c r="N964">
        <v>8.57</v>
      </c>
      <c r="O964">
        <v>0.02</v>
      </c>
      <c r="P964">
        <v>0.18</v>
      </c>
      <c r="Q964">
        <v>4.07</v>
      </c>
      <c r="R964">
        <v>307.16000000000003</v>
      </c>
    </row>
    <row r="965" spans="1:18" x14ac:dyDescent="0.3">
      <c r="A965" t="s">
        <v>1958</v>
      </c>
      <c r="B965" t="s">
        <v>1959</v>
      </c>
      <c r="C965" t="s">
        <v>20</v>
      </c>
      <c r="D965" t="s">
        <v>21</v>
      </c>
      <c r="E965" t="s">
        <v>22</v>
      </c>
      <c r="F965" s="1">
        <v>45335</v>
      </c>
      <c r="G965" s="1">
        <v>45375</v>
      </c>
      <c r="H965">
        <v>428763</v>
      </c>
      <c r="I965">
        <v>13891</v>
      </c>
      <c r="J965">
        <v>851</v>
      </c>
      <c r="K965">
        <v>7026.76</v>
      </c>
      <c r="L965">
        <v>29612.22</v>
      </c>
      <c r="M965">
        <v>3.24</v>
      </c>
      <c r="N965">
        <v>6.13</v>
      </c>
      <c r="O965">
        <v>0.51</v>
      </c>
      <c r="P965">
        <v>8.26</v>
      </c>
      <c r="Q965">
        <v>4.21</v>
      </c>
      <c r="R965">
        <v>321.42</v>
      </c>
    </row>
    <row r="966" spans="1:18" x14ac:dyDescent="0.3">
      <c r="A966" t="s">
        <v>1960</v>
      </c>
      <c r="B966" t="s">
        <v>1961</v>
      </c>
      <c r="C966" t="s">
        <v>37</v>
      </c>
      <c r="D966" t="s">
        <v>34</v>
      </c>
      <c r="E966" t="s">
        <v>38</v>
      </c>
      <c r="F966" s="1">
        <v>45532</v>
      </c>
      <c r="G966" s="1">
        <v>45564</v>
      </c>
      <c r="H966">
        <v>114929</v>
      </c>
      <c r="I966">
        <v>10895</v>
      </c>
      <c r="J966">
        <v>879</v>
      </c>
      <c r="K966">
        <v>3962.51</v>
      </c>
      <c r="L966">
        <v>12385.25</v>
      </c>
      <c r="M966">
        <v>9.48</v>
      </c>
      <c r="N966">
        <v>8.07</v>
      </c>
      <c r="O966">
        <v>0.36</v>
      </c>
      <c r="P966">
        <v>4.51</v>
      </c>
      <c r="Q966">
        <v>3.13</v>
      </c>
      <c r="R966">
        <v>212.56</v>
      </c>
    </row>
    <row r="967" spans="1:18" x14ac:dyDescent="0.3">
      <c r="A967" t="s">
        <v>1962</v>
      </c>
      <c r="B967" t="s">
        <v>1963</v>
      </c>
      <c r="C967" t="s">
        <v>44</v>
      </c>
      <c r="D967" t="s">
        <v>57</v>
      </c>
      <c r="E967" t="s">
        <v>22</v>
      </c>
      <c r="F967" s="1">
        <v>45516</v>
      </c>
      <c r="G967" s="1">
        <v>45533</v>
      </c>
      <c r="H967">
        <v>274574</v>
      </c>
      <c r="I967">
        <v>9665</v>
      </c>
      <c r="J967">
        <v>326</v>
      </c>
      <c r="K967">
        <v>5868.52</v>
      </c>
      <c r="L967">
        <v>37864.639999999999</v>
      </c>
      <c r="M967">
        <v>3.52</v>
      </c>
      <c r="N967">
        <v>3.38</v>
      </c>
      <c r="O967">
        <v>0.61</v>
      </c>
      <c r="P967">
        <v>18</v>
      </c>
      <c r="Q967">
        <v>6.45</v>
      </c>
      <c r="R967">
        <v>545.22</v>
      </c>
    </row>
    <row r="968" spans="1:18" x14ac:dyDescent="0.3">
      <c r="A968" t="s">
        <v>1964</v>
      </c>
      <c r="B968" t="s">
        <v>1965</v>
      </c>
      <c r="C968" t="s">
        <v>29</v>
      </c>
      <c r="D968" t="s">
        <v>57</v>
      </c>
      <c r="E968" t="s">
        <v>38</v>
      </c>
      <c r="F968" s="1">
        <v>45312</v>
      </c>
      <c r="G968" s="1">
        <v>45327</v>
      </c>
      <c r="H968">
        <v>53046</v>
      </c>
      <c r="I968">
        <v>1368</v>
      </c>
      <c r="J968">
        <v>86</v>
      </c>
      <c r="K968">
        <v>5976.97</v>
      </c>
      <c r="L968">
        <v>17052.61</v>
      </c>
      <c r="M968">
        <v>2.58</v>
      </c>
      <c r="N968">
        <v>6.35</v>
      </c>
      <c r="O968">
        <v>4.37</v>
      </c>
      <c r="P968">
        <v>69.5</v>
      </c>
      <c r="Q968">
        <v>2.85</v>
      </c>
      <c r="R968">
        <v>185.31</v>
      </c>
    </row>
    <row r="969" spans="1:18" x14ac:dyDescent="0.3">
      <c r="A969" t="s">
        <v>1966</v>
      </c>
      <c r="B969" t="s">
        <v>1967</v>
      </c>
      <c r="C969" t="s">
        <v>25</v>
      </c>
      <c r="D969" t="s">
        <v>30</v>
      </c>
      <c r="E969" t="s">
        <v>22</v>
      </c>
      <c r="F969" s="1">
        <v>45428</v>
      </c>
      <c r="G969" s="1">
        <v>45442</v>
      </c>
      <c r="H969">
        <v>66570</v>
      </c>
      <c r="I969">
        <v>712</v>
      </c>
      <c r="J969">
        <v>45</v>
      </c>
      <c r="K969">
        <v>11668.72</v>
      </c>
      <c r="L969">
        <v>58268.84</v>
      </c>
      <c r="M969">
        <v>1.07</v>
      </c>
      <c r="N969">
        <v>6.39</v>
      </c>
      <c r="O969">
        <v>16.39</v>
      </c>
      <c r="P969">
        <v>259.3</v>
      </c>
      <c r="Q969">
        <v>4.99</v>
      </c>
      <c r="R969">
        <v>399.36</v>
      </c>
    </row>
    <row r="970" spans="1:18" x14ac:dyDescent="0.3">
      <c r="A970" t="s">
        <v>1968</v>
      </c>
      <c r="B970" t="s">
        <v>1969</v>
      </c>
      <c r="C970" t="s">
        <v>25</v>
      </c>
      <c r="D970" t="s">
        <v>30</v>
      </c>
      <c r="E970" t="s">
        <v>31</v>
      </c>
      <c r="F970" s="1">
        <v>45496</v>
      </c>
      <c r="G970" s="1">
        <v>45535</v>
      </c>
      <c r="H970">
        <v>309820</v>
      </c>
      <c r="I970">
        <v>6692</v>
      </c>
      <c r="J970">
        <v>669</v>
      </c>
      <c r="K970">
        <v>9198.2000000000007</v>
      </c>
      <c r="L970">
        <v>50036.07</v>
      </c>
      <c r="M970">
        <v>2.16</v>
      </c>
      <c r="N970">
        <v>10</v>
      </c>
      <c r="O970">
        <v>1.37</v>
      </c>
      <c r="P970">
        <v>13.75</v>
      </c>
      <c r="Q970">
        <v>5.44</v>
      </c>
      <c r="R970">
        <v>443.98</v>
      </c>
    </row>
    <row r="971" spans="1:18" x14ac:dyDescent="0.3">
      <c r="A971" t="s">
        <v>1970</v>
      </c>
      <c r="B971" t="s">
        <v>1971</v>
      </c>
      <c r="C971" t="s">
        <v>25</v>
      </c>
      <c r="D971" t="s">
        <v>34</v>
      </c>
      <c r="E971" t="s">
        <v>26</v>
      </c>
      <c r="F971" s="1">
        <v>45413</v>
      </c>
      <c r="G971" s="1">
        <v>45423</v>
      </c>
      <c r="H971">
        <v>106559</v>
      </c>
      <c r="I971">
        <v>2291</v>
      </c>
      <c r="J971">
        <v>134</v>
      </c>
      <c r="K971">
        <v>9505.93</v>
      </c>
      <c r="L971">
        <v>19595.72</v>
      </c>
      <c r="M971">
        <v>2.15</v>
      </c>
      <c r="N971">
        <v>5.88</v>
      </c>
      <c r="O971">
        <v>4.1500000000000004</v>
      </c>
      <c r="P971">
        <v>70.94</v>
      </c>
      <c r="Q971">
        <v>2.06</v>
      </c>
      <c r="R971">
        <v>106.14</v>
      </c>
    </row>
    <row r="972" spans="1:18" x14ac:dyDescent="0.3">
      <c r="A972" t="s">
        <v>1972</v>
      </c>
      <c r="B972" t="s">
        <v>1973</v>
      </c>
      <c r="C972" t="s">
        <v>44</v>
      </c>
      <c r="D972" t="s">
        <v>30</v>
      </c>
      <c r="E972" t="s">
        <v>31</v>
      </c>
      <c r="F972" s="1">
        <v>45511</v>
      </c>
      <c r="G972" s="1">
        <v>45533</v>
      </c>
      <c r="H972">
        <v>436626</v>
      </c>
      <c r="I972">
        <v>5326</v>
      </c>
      <c r="J972">
        <v>169</v>
      </c>
      <c r="K972">
        <v>6027.79</v>
      </c>
      <c r="L972">
        <v>14296.51</v>
      </c>
      <c r="M972">
        <v>1.22</v>
      </c>
      <c r="N972">
        <v>3.18</v>
      </c>
      <c r="O972">
        <v>1.1299999999999999</v>
      </c>
      <c r="P972">
        <v>35.67</v>
      </c>
      <c r="Q972">
        <v>2.37</v>
      </c>
      <c r="R972">
        <v>137.18</v>
      </c>
    </row>
    <row r="973" spans="1:18" x14ac:dyDescent="0.3">
      <c r="A973" t="s">
        <v>1974</v>
      </c>
      <c r="B973" t="s">
        <v>1975</v>
      </c>
      <c r="C973" t="s">
        <v>37</v>
      </c>
      <c r="D973" t="s">
        <v>34</v>
      </c>
      <c r="E973" t="s">
        <v>31</v>
      </c>
      <c r="F973" s="1">
        <v>45418</v>
      </c>
      <c r="G973" s="1">
        <v>45452</v>
      </c>
      <c r="H973">
        <v>147968</v>
      </c>
      <c r="I973">
        <v>8138</v>
      </c>
      <c r="J973">
        <v>1275</v>
      </c>
      <c r="K973">
        <v>4388.75</v>
      </c>
      <c r="L973">
        <v>28413.46</v>
      </c>
      <c r="M973">
        <v>5.5</v>
      </c>
      <c r="N973">
        <v>15.67</v>
      </c>
      <c r="O973">
        <v>0.54</v>
      </c>
      <c r="P973">
        <v>3.44</v>
      </c>
      <c r="Q973">
        <v>6.47</v>
      </c>
      <c r="R973">
        <v>547.41999999999996</v>
      </c>
    </row>
    <row r="974" spans="1:18" x14ac:dyDescent="0.3">
      <c r="A974" t="s">
        <v>1976</v>
      </c>
      <c r="B974" t="s">
        <v>1977</v>
      </c>
      <c r="C974" t="s">
        <v>29</v>
      </c>
      <c r="D974" t="s">
        <v>30</v>
      </c>
      <c r="E974" t="s">
        <v>26</v>
      </c>
      <c r="F974" s="1">
        <v>45614</v>
      </c>
      <c r="G974" s="1">
        <v>45630</v>
      </c>
      <c r="H974">
        <v>417601</v>
      </c>
      <c r="I974">
        <v>15409</v>
      </c>
      <c r="J974">
        <v>779</v>
      </c>
      <c r="K974">
        <v>5830.03</v>
      </c>
      <c r="L974">
        <v>34087.74</v>
      </c>
      <c r="M974">
        <v>3.69</v>
      </c>
      <c r="N974">
        <v>5.0599999999999996</v>
      </c>
      <c r="O974">
        <v>0.38</v>
      </c>
      <c r="P974">
        <v>7.48</v>
      </c>
      <c r="Q974">
        <v>5.85</v>
      </c>
      <c r="R974">
        <v>484.69</v>
      </c>
    </row>
    <row r="975" spans="1:18" x14ac:dyDescent="0.3">
      <c r="A975" t="s">
        <v>1978</v>
      </c>
      <c r="B975" t="s">
        <v>1979</v>
      </c>
      <c r="C975" t="s">
        <v>29</v>
      </c>
      <c r="D975" t="s">
        <v>21</v>
      </c>
      <c r="E975" t="s">
        <v>41</v>
      </c>
      <c r="F975" s="1">
        <v>45607</v>
      </c>
      <c r="G975" s="1">
        <v>45626</v>
      </c>
      <c r="H975">
        <v>260387</v>
      </c>
      <c r="I975">
        <v>4218</v>
      </c>
      <c r="J975">
        <v>293</v>
      </c>
      <c r="K975">
        <v>16936.47</v>
      </c>
      <c r="L975">
        <v>66363.240000000005</v>
      </c>
      <c r="M975">
        <v>1.62</v>
      </c>
      <c r="N975">
        <v>6.95</v>
      </c>
      <c r="O975">
        <v>4.0199999999999996</v>
      </c>
      <c r="P975">
        <v>57.8</v>
      </c>
      <c r="Q975">
        <v>3.92</v>
      </c>
      <c r="R975">
        <v>291.83999999999997</v>
      </c>
    </row>
    <row r="976" spans="1:18" x14ac:dyDescent="0.3">
      <c r="A976" t="s">
        <v>1980</v>
      </c>
      <c r="B976" t="s">
        <v>1981</v>
      </c>
      <c r="C976" t="s">
        <v>20</v>
      </c>
      <c r="D976" t="s">
        <v>21</v>
      </c>
      <c r="E976" t="s">
        <v>38</v>
      </c>
      <c r="F976" s="1">
        <v>45510</v>
      </c>
      <c r="G976" s="1">
        <v>45547</v>
      </c>
      <c r="H976">
        <v>263541</v>
      </c>
      <c r="I976">
        <v>12122</v>
      </c>
      <c r="J976">
        <v>994</v>
      </c>
      <c r="K976">
        <v>24602.49</v>
      </c>
      <c r="L976">
        <v>73757.98</v>
      </c>
      <c r="M976">
        <v>4.5999999999999996</v>
      </c>
      <c r="N976">
        <v>8.1999999999999993</v>
      </c>
      <c r="O976">
        <v>2.0299999999999998</v>
      </c>
      <c r="P976">
        <v>24.75</v>
      </c>
      <c r="Q976">
        <v>3</v>
      </c>
      <c r="R976">
        <v>199.8</v>
      </c>
    </row>
    <row r="977" spans="1:18" x14ac:dyDescent="0.3">
      <c r="A977" t="s">
        <v>1982</v>
      </c>
      <c r="B977" t="s">
        <v>1983</v>
      </c>
      <c r="C977" t="s">
        <v>20</v>
      </c>
      <c r="D977" t="s">
        <v>30</v>
      </c>
      <c r="E977" t="s">
        <v>26</v>
      </c>
      <c r="F977" s="1">
        <v>45418</v>
      </c>
      <c r="G977" s="1">
        <v>45445</v>
      </c>
      <c r="H977">
        <v>209535</v>
      </c>
      <c r="I977">
        <v>6160</v>
      </c>
      <c r="J977">
        <v>380</v>
      </c>
      <c r="K977">
        <v>23859.97</v>
      </c>
      <c r="L977">
        <v>124122.79</v>
      </c>
      <c r="M977">
        <v>2.94</v>
      </c>
      <c r="N977">
        <v>6.18</v>
      </c>
      <c r="O977">
        <v>3.87</v>
      </c>
      <c r="P977">
        <v>62.79</v>
      </c>
      <c r="Q977">
        <v>5.2</v>
      </c>
      <c r="R977">
        <v>420.21</v>
      </c>
    </row>
    <row r="978" spans="1:18" x14ac:dyDescent="0.3">
      <c r="A978" t="s">
        <v>1984</v>
      </c>
      <c r="B978" t="s">
        <v>1985</v>
      </c>
      <c r="C978" t="s">
        <v>20</v>
      </c>
      <c r="D978" t="s">
        <v>34</v>
      </c>
      <c r="E978" t="s">
        <v>26</v>
      </c>
      <c r="F978" s="1">
        <v>45602</v>
      </c>
      <c r="G978" s="1">
        <v>45615</v>
      </c>
      <c r="H978">
        <v>50280</v>
      </c>
      <c r="I978">
        <v>1362</v>
      </c>
      <c r="J978">
        <v>115</v>
      </c>
      <c r="K978">
        <v>9239.5499999999993</v>
      </c>
      <c r="L978">
        <v>38106.32</v>
      </c>
      <c r="M978">
        <v>2.71</v>
      </c>
      <c r="N978">
        <v>8.4700000000000006</v>
      </c>
      <c r="O978">
        <v>6.78</v>
      </c>
      <c r="P978">
        <v>80.34</v>
      </c>
      <c r="Q978">
        <v>4.12</v>
      </c>
      <c r="R978">
        <v>312.43</v>
      </c>
    </row>
    <row r="979" spans="1:18" x14ac:dyDescent="0.3">
      <c r="A979" t="s">
        <v>1986</v>
      </c>
      <c r="B979" t="s">
        <v>1987</v>
      </c>
      <c r="C979" t="s">
        <v>25</v>
      </c>
      <c r="D979" t="s">
        <v>34</v>
      </c>
      <c r="E979" t="s">
        <v>22</v>
      </c>
      <c r="F979" s="1">
        <v>45574</v>
      </c>
      <c r="G979" s="1">
        <v>45589</v>
      </c>
      <c r="H979">
        <v>307575</v>
      </c>
      <c r="I979">
        <v>4367</v>
      </c>
      <c r="J979">
        <v>311</v>
      </c>
      <c r="K979">
        <v>5550.2</v>
      </c>
      <c r="L979">
        <v>11441.61</v>
      </c>
      <c r="M979">
        <v>1.42</v>
      </c>
      <c r="N979">
        <v>7.13</v>
      </c>
      <c r="O979">
        <v>1.27</v>
      </c>
      <c r="P979">
        <v>17.850000000000001</v>
      </c>
      <c r="Q979">
        <v>2.06</v>
      </c>
      <c r="R979">
        <v>106.15</v>
      </c>
    </row>
    <row r="980" spans="1:18" x14ac:dyDescent="0.3">
      <c r="A980" t="s">
        <v>1988</v>
      </c>
      <c r="B980" t="s">
        <v>1989</v>
      </c>
      <c r="C980" t="s">
        <v>44</v>
      </c>
      <c r="D980" t="s">
        <v>57</v>
      </c>
      <c r="E980" t="s">
        <v>22</v>
      </c>
      <c r="F980" s="1">
        <v>45399</v>
      </c>
      <c r="G980" s="1">
        <v>45443</v>
      </c>
      <c r="H980">
        <v>439510</v>
      </c>
      <c r="I980">
        <v>14152</v>
      </c>
      <c r="J980">
        <v>474</v>
      </c>
      <c r="K980">
        <v>7144.9</v>
      </c>
      <c r="L980">
        <v>35196.620000000003</v>
      </c>
      <c r="M980">
        <v>3.22</v>
      </c>
      <c r="N980">
        <v>3.35</v>
      </c>
      <c r="O980">
        <v>0.5</v>
      </c>
      <c r="P980">
        <v>15.07</v>
      </c>
      <c r="Q980">
        <v>4.93</v>
      </c>
      <c r="R980">
        <v>392.61</v>
      </c>
    </row>
    <row r="981" spans="1:18" x14ac:dyDescent="0.3">
      <c r="A981" t="s">
        <v>1990</v>
      </c>
      <c r="B981" t="s">
        <v>1991</v>
      </c>
      <c r="C981" t="s">
        <v>25</v>
      </c>
      <c r="D981" t="s">
        <v>21</v>
      </c>
      <c r="E981" t="s">
        <v>26</v>
      </c>
      <c r="F981" s="1">
        <v>45389</v>
      </c>
      <c r="G981" s="1">
        <v>45408</v>
      </c>
      <c r="H981">
        <v>118411</v>
      </c>
      <c r="I981">
        <v>2214</v>
      </c>
      <c r="J981">
        <v>203</v>
      </c>
      <c r="K981">
        <v>4656.62</v>
      </c>
      <c r="L981">
        <v>29604.400000000001</v>
      </c>
      <c r="M981">
        <v>1.87</v>
      </c>
      <c r="N981">
        <v>9.2100000000000009</v>
      </c>
      <c r="O981">
        <v>2.1</v>
      </c>
      <c r="P981">
        <v>22.94</v>
      </c>
      <c r="Q981">
        <v>6.36</v>
      </c>
      <c r="R981">
        <v>535.75</v>
      </c>
    </row>
    <row r="982" spans="1:18" x14ac:dyDescent="0.3">
      <c r="A982" t="s">
        <v>1992</v>
      </c>
      <c r="B982" t="s">
        <v>1993</v>
      </c>
      <c r="C982" t="s">
        <v>25</v>
      </c>
      <c r="D982" t="s">
        <v>21</v>
      </c>
      <c r="E982" t="s">
        <v>26</v>
      </c>
      <c r="F982" s="1">
        <v>45565</v>
      </c>
      <c r="G982" s="1">
        <v>45581</v>
      </c>
      <c r="H982">
        <v>336564</v>
      </c>
      <c r="I982">
        <v>6226</v>
      </c>
      <c r="J982">
        <v>442</v>
      </c>
      <c r="K982">
        <v>11587.18</v>
      </c>
      <c r="L982">
        <v>62854.03</v>
      </c>
      <c r="M982">
        <v>1.85</v>
      </c>
      <c r="N982">
        <v>7.11</v>
      </c>
      <c r="O982">
        <v>1.86</v>
      </c>
      <c r="P982">
        <v>26.22</v>
      </c>
      <c r="Q982">
        <v>5.42</v>
      </c>
      <c r="R982">
        <v>442.44</v>
      </c>
    </row>
    <row r="983" spans="1:18" x14ac:dyDescent="0.3">
      <c r="A983" t="s">
        <v>1994</v>
      </c>
      <c r="B983" t="s">
        <v>1995</v>
      </c>
      <c r="C983" t="s">
        <v>20</v>
      </c>
      <c r="D983" t="s">
        <v>34</v>
      </c>
      <c r="E983" t="s">
        <v>41</v>
      </c>
      <c r="F983" s="1">
        <v>45578</v>
      </c>
      <c r="G983" s="1">
        <v>45607</v>
      </c>
      <c r="H983">
        <v>269263</v>
      </c>
      <c r="I983">
        <v>12655</v>
      </c>
      <c r="J983">
        <v>698</v>
      </c>
      <c r="K983">
        <v>22541.51</v>
      </c>
      <c r="L983">
        <v>131653.07</v>
      </c>
      <c r="M983">
        <v>4.7</v>
      </c>
      <c r="N983">
        <v>5.52</v>
      </c>
      <c r="O983">
        <v>1.78</v>
      </c>
      <c r="P983">
        <v>32.29</v>
      </c>
      <c r="Q983">
        <v>5.84</v>
      </c>
      <c r="R983">
        <v>484.05</v>
      </c>
    </row>
    <row r="984" spans="1:18" x14ac:dyDescent="0.3">
      <c r="A984" t="s">
        <v>1996</v>
      </c>
      <c r="B984" t="s">
        <v>1997</v>
      </c>
      <c r="C984" t="s">
        <v>44</v>
      </c>
      <c r="D984" t="s">
        <v>30</v>
      </c>
      <c r="E984" t="s">
        <v>26</v>
      </c>
      <c r="F984" s="1">
        <v>45303</v>
      </c>
      <c r="G984" s="1">
        <v>45320</v>
      </c>
      <c r="H984">
        <v>278655</v>
      </c>
      <c r="I984">
        <v>3845</v>
      </c>
      <c r="J984">
        <v>114</v>
      </c>
      <c r="K984">
        <v>14141.65</v>
      </c>
      <c r="L984">
        <v>60348.25</v>
      </c>
      <c r="M984">
        <v>1.38</v>
      </c>
      <c r="N984">
        <v>2.97</v>
      </c>
      <c r="O984">
        <v>3.68</v>
      </c>
      <c r="P984">
        <v>124.05</v>
      </c>
      <c r="Q984">
        <v>4.2699999999999996</v>
      </c>
      <c r="R984">
        <v>326.74</v>
      </c>
    </row>
    <row r="985" spans="1:18" x14ac:dyDescent="0.3">
      <c r="A985" t="s">
        <v>1998</v>
      </c>
      <c r="B985" t="s">
        <v>1999</v>
      </c>
      <c r="C985" t="s">
        <v>37</v>
      </c>
      <c r="D985" t="s">
        <v>57</v>
      </c>
      <c r="E985" t="s">
        <v>41</v>
      </c>
      <c r="F985" s="1">
        <v>45495</v>
      </c>
      <c r="G985" s="1">
        <v>45533</v>
      </c>
      <c r="H985">
        <v>201863</v>
      </c>
      <c r="I985">
        <v>8619</v>
      </c>
      <c r="J985">
        <v>1177</v>
      </c>
      <c r="K985">
        <v>4074.76</v>
      </c>
      <c r="L985">
        <v>20871.39</v>
      </c>
      <c r="M985">
        <v>4.2699999999999996</v>
      </c>
      <c r="N985">
        <v>13.66</v>
      </c>
      <c r="O985">
        <v>0.47</v>
      </c>
      <c r="P985">
        <v>3.46</v>
      </c>
      <c r="Q985">
        <v>5.12</v>
      </c>
      <c r="R985">
        <v>412.21</v>
      </c>
    </row>
    <row r="986" spans="1:18" x14ac:dyDescent="0.3">
      <c r="A986" t="s">
        <v>2000</v>
      </c>
      <c r="B986" t="s">
        <v>2001</v>
      </c>
      <c r="C986" t="s">
        <v>37</v>
      </c>
      <c r="D986" t="s">
        <v>21</v>
      </c>
      <c r="E986" t="s">
        <v>41</v>
      </c>
      <c r="F986" s="1">
        <v>45431</v>
      </c>
      <c r="G986" s="1">
        <v>45451</v>
      </c>
      <c r="H986">
        <v>279504</v>
      </c>
      <c r="I986">
        <v>23757</v>
      </c>
      <c r="J986">
        <v>2812</v>
      </c>
      <c r="K986">
        <v>4007.17</v>
      </c>
      <c r="L986">
        <v>15242.55</v>
      </c>
      <c r="M986">
        <v>8.5</v>
      </c>
      <c r="N986">
        <v>11.84</v>
      </c>
      <c r="O986">
        <v>0.17</v>
      </c>
      <c r="P986">
        <v>1.43</v>
      </c>
      <c r="Q986">
        <v>3.8</v>
      </c>
      <c r="R986">
        <v>280.38</v>
      </c>
    </row>
    <row r="987" spans="1:18" x14ac:dyDescent="0.3">
      <c r="A987" t="s">
        <v>2002</v>
      </c>
      <c r="B987" t="s">
        <v>2003</v>
      </c>
      <c r="C987" t="s">
        <v>29</v>
      </c>
      <c r="D987" t="s">
        <v>21</v>
      </c>
      <c r="E987" t="s">
        <v>41</v>
      </c>
      <c r="F987" s="1">
        <v>45525</v>
      </c>
      <c r="G987" s="1">
        <v>45564</v>
      </c>
      <c r="H987">
        <v>349839</v>
      </c>
      <c r="I987">
        <v>7521</v>
      </c>
      <c r="J987">
        <v>412</v>
      </c>
      <c r="K987">
        <v>16187.33</v>
      </c>
      <c r="L987">
        <v>89967.74</v>
      </c>
      <c r="M987">
        <v>2.15</v>
      </c>
      <c r="N987">
        <v>5.48</v>
      </c>
      <c r="O987">
        <v>2.15</v>
      </c>
      <c r="P987">
        <v>39.29</v>
      </c>
      <c r="Q987">
        <v>5.56</v>
      </c>
      <c r="R987">
        <v>455.79</v>
      </c>
    </row>
    <row r="988" spans="1:18" x14ac:dyDescent="0.3">
      <c r="A988" t="s">
        <v>2004</v>
      </c>
      <c r="B988" t="s">
        <v>2005</v>
      </c>
      <c r="C988" t="s">
        <v>37</v>
      </c>
      <c r="D988" t="s">
        <v>57</v>
      </c>
      <c r="E988" t="s">
        <v>22</v>
      </c>
      <c r="F988" s="1">
        <v>45315</v>
      </c>
      <c r="G988" s="1">
        <v>45356</v>
      </c>
      <c r="H988">
        <v>496942</v>
      </c>
      <c r="I988">
        <v>26437</v>
      </c>
      <c r="J988">
        <v>3986</v>
      </c>
      <c r="K988">
        <v>2984.68</v>
      </c>
      <c r="L988">
        <v>8267.5400000000009</v>
      </c>
      <c r="M988">
        <v>5.32</v>
      </c>
      <c r="N988">
        <v>15.08</v>
      </c>
      <c r="O988">
        <v>0.11</v>
      </c>
      <c r="P988">
        <v>0.75</v>
      </c>
      <c r="Q988">
        <v>2.77</v>
      </c>
      <c r="R988">
        <v>177</v>
      </c>
    </row>
    <row r="989" spans="1:18" x14ac:dyDescent="0.3">
      <c r="A989" t="s">
        <v>2006</v>
      </c>
      <c r="B989" t="s">
        <v>2007</v>
      </c>
      <c r="C989" t="s">
        <v>29</v>
      </c>
      <c r="D989" t="s">
        <v>57</v>
      </c>
      <c r="E989" t="s">
        <v>26</v>
      </c>
      <c r="F989" s="1">
        <v>45318</v>
      </c>
      <c r="G989" s="1">
        <v>45340</v>
      </c>
      <c r="H989">
        <v>385342</v>
      </c>
      <c r="I989">
        <v>7475</v>
      </c>
      <c r="J989">
        <v>479</v>
      </c>
      <c r="K989">
        <v>16908.72</v>
      </c>
      <c r="L989">
        <v>54394.62</v>
      </c>
      <c r="M989">
        <v>1.94</v>
      </c>
      <c r="N989">
        <v>6.42</v>
      </c>
      <c r="O989">
        <v>2.2599999999999998</v>
      </c>
      <c r="P989">
        <v>35.299999999999997</v>
      </c>
      <c r="Q989">
        <v>3.22</v>
      </c>
      <c r="R989">
        <v>221.7</v>
      </c>
    </row>
    <row r="990" spans="1:18" x14ac:dyDescent="0.3">
      <c r="A990" t="s">
        <v>2008</v>
      </c>
      <c r="B990" t="s">
        <v>2009</v>
      </c>
      <c r="C990" t="s">
        <v>29</v>
      </c>
      <c r="D990" t="s">
        <v>21</v>
      </c>
      <c r="E990" t="s">
        <v>26</v>
      </c>
      <c r="F990" s="1">
        <v>45573</v>
      </c>
      <c r="G990" s="1">
        <v>45596</v>
      </c>
      <c r="H990">
        <v>390077</v>
      </c>
      <c r="I990">
        <v>9907</v>
      </c>
      <c r="J990">
        <v>498</v>
      </c>
      <c r="K990">
        <v>8536.65</v>
      </c>
      <c r="L990">
        <v>20271.189999999999</v>
      </c>
      <c r="M990">
        <v>2.54</v>
      </c>
      <c r="N990">
        <v>5.03</v>
      </c>
      <c r="O990">
        <v>0.86</v>
      </c>
      <c r="P990">
        <v>17.14</v>
      </c>
      <c r="Q990">
        <v>2.37</v>
      </c>
      <c r="R990">
        <v>137.46</v>
      </c>
    </row>
    <row r="991" spans="1:18" x14ac:dyDescent="0.3">
      <c r="A991" t="s">
        <v>2010</v>
      </c>
      <c r="B991" t="s">
        <v>2011</v>
      </c>
      <c r="C991" t="s">
        <v>29</v>
      </c>
      <c r="D991" t="s">
        <v>30</v>
      </c>
      <c r="E991" t="s">
        <v>31</v>
      </c>
      <c r="F991" s="1">
        <v>45404</v>
      </c>
      <c r="G991" s="1">
        <v>45428</v>
      </c>
      <c r="H991">
        <v>204610</v>
      </c>
      <c r="I991">
        <v>5053</v>
      </c>
      <c r="J991">
        <v>115</v>
      </c>
      <c r="K991">
        <v>15238.83</v>
      </c>
      <c r="L991">
        <v>86978.559999999998</v>
      </c>
      <c r="M991">
        <v>2.4700000000000002</v>
      </c>
      <c r="N991">
        <v>2.29</v>
      </c>
      <c r="O991">
        <v>3.02</v>
      </c>
      <c r="P991">
        <v>132.51</v>
      </c>
      <c r="Q991">
        <v>5.71</v>
      </c>
      <c r="R991">
        <v>470.77</v>
      </c>
    </row>
    <row r="992" spans="1:18" x14ac:dyDescent="0.3">
      <c r="A992" t="s">
        <v>2012</v>
      </c>
      <c r="B992" t="s">
        <v>2013</v>
      </c>
      <c r="C992" t="s">
        <v>29</v>
      </c>
      <c r="D992" t="s">
        <v>57</v>
      </c>
      <c r="E992" t="s">
        <v>26</v>
      </c>
      <c r="F992" s="1">
        <v>45487</v>
      </c>
      <c r="G992" s="1">
        <v>45510</v>
      </c>
      <c r="H992">
        <v>331746</v>
      </c>
      <c r="I992">
        <v>11511</v>
      </c>
      <c r="J992">
        <v>729</v>
      </c>
      <c r="K992">
        <v>17085.25</v>
      </c>
      <c r="L992">
        <v>79013.740000000005</v>
      </c>
      <c r="M992">
        <v>3.47</v>
      </c>
      <c r="N992">
        <v>6.34</v>
      </c>
      <c r="O992">
        <v>1.48</v>
      </c>
      <c r="P992">
        <v>23.44</v>
      </c>
      <c r="Q992">
        <v>4.62</v>
      </c>
      <c r="R992">
        <v>362.47</v>
      </c>
    </row>
    <row r="993" spans="1:18" x14ac:dyDescent="0.3">
      <c r="A993" t="s">
        <v>2014</v>
      </c>
      <c r="B993" t="s">
        <v>2015</v>
      </c>
      <c r="C993" t="s">
        <v>37</v>
      </c>
      <c r="D993" t="s">
        <v>34</v>
      </c>
      <c r="E993" t="s">
        <v>38</v>
      </c>
      <c r="F993" s="1">
        <v>45494</v>
      </c>
      <c r="G993" s="1">
        <v>45510</v>
      </c>
      <c r="H993">
        <v>165678</v>
      </c>
      <c r="I993">
        <v>9857</v>
      </c>
      <c r="J993">
        <v>989</v>
      </c>
      <c r="K993">
        <v>3334.1</v>
      </c>
      <c r="L993">
        <v>19544.48</v>
      </c>
      <c r="M993">
        <v>5.95</v>
      </c>
      <c r="N993">
        <v>10.039999999999999</v>
      </c>
      <c r="O993">
        <v>0.34</v>
      </c>
      <c r="P993">
        <v>3.37</v>
      </c>
      <c r="Q993">
        <v>5.86</v>
      </c>
      <c r="R993">
        <v>486.2</v>
      </c>
    </row>
    <row r="994" spans="1:18" x14ac:dyDescent="0.3">
      <c r="A994" t="s">
        <v>2016</v>
      </c>
      <c r="B994" t="s">
        <v>2017</v>
      </c>
      <c r="C994" t="s">
        <v>25</v>
      </c>
      <c r="D994" t="s">
        <v>34</v>
      </c>
      <c r="E994" t="s">
        <v>38</v>
      </c>
      <c r="F994" s="1">
        <v>45382</v>
      </c>
      <c r="G994" s="1">
        <v>45401</v>
      </c>
      <c r="H994">
        <v>243273</v>
      </c>
      <c r="I994">
        <v>2554</v>
      </c>
      <c r="J994">
        <v>213</v>
      </c>
      <c r="K994">
        <v>11935.38</v>
      </c>
      <c r="L994">
        <v>48544.24</v>
      </c>
      <c r="M994">
        <v>1.05</v>
      </c>
      <c r="N994">
        <v>8.35</v>
      </c>
      <c r="O994">
        <v>4.67</v>
      </c>
      <c r="P994">
        <v>56.03</v>
      </c>
      <c r="Q994">
        <v>4.07</v>
      </c>
      <c r="R994">
        <v>306.73</v>
      </c>
    </row>
    <row r="995" spans="1:18" x14ac:dyDescent="0.3">
      <c r="A995" t="s">
        <v>2018</v>
      </c>
      <c r="B995" t="s">
        <v>2019</v>
      </c>
      <c r="C995" t="s">
        <v>37</v>
      </c>
      <c r="D995" t="s">
        <v>30</v>
      </c>
      <c r="E995" t="s">
        <v>41</v>
      </c>
      <c r="F995" s="1">
        <v>45603</v>
      </c>
      <c r="G995" s="1">
        <v>45622</v>
      </c>
      <c r="H995">
        <v>389510</v>
      </c>
      <c r="I995">
        <v>22163</v>
      </c>
      <c r="J995">
        <v>2460</v>
      </c>
      <c r="K995">
        <v>4483.6400000000003</v>
      </c>
      <c r="L995">
        <v>25461.45</v>
      </c>
      <c r="M995">
        <v>5.69</v>
      </c>
      <c r="N995">
        <v>11.1</v>
      </c>
      <c r="O995">
        <v>0.2</v>
      </c>
      <c r="P995">
        <v>1.82</v>
      </c>
      <c r="Q995">
        <v>5.68</v>
      </c>
      <c r="R995">
        <v>467.87</v>
      </c>
    </row>
    <row r="996" spans="1:18" x14ac:dyDescent="0.3">
      <c r="A996" t="s">
        <v>2020</v>
      </c>
      <c r="B996" t="s">
        <v>2021</v>
      </c>
      <c r="C996" t="s">
        <v>20</v>
      </c>
      <c r="D996" t="s">
        <v>34</v>
      </c>
      <c r="E996" t="s">
        <v>26</v>
      </c>
      <c r="F996" s="1">
        <v>45561</v>
      </c>
      <c r="G996" s="1">
        <v>45576</v>
      </c>
      <c r="H996">
        <v>273553</v>
      </c>
      <c r="I996">
        <v>9519</v>
      </c>
      <c r="J996">
        <v>899</v>
      </c>
      <c r="K996">
        <v>24407.71</v>
      </c>
      <c r="L996">
        <v>59824.57</v>
      </c>
      <c r="M996">
        <v>3.48</v>
      </c>
      <c r="N996">
        <v>9.4499999999999993</v>
      </c>
      <c r="O996">
        <v>2.56</v>
      </c>
      <c r="P996">
        <v>27.15</v>
      </c>
      <c r="Q996">
        <v>2.4500000000000002</v>
      </c>
      <c r="R996">
        <v>145.11000000000001</v>
      </c>
    </row>
    <row r="997" spans="1:18" x14ac:dyDescent="0.3">
      <c r="A997" t="s">
        <v>2022</v>
      </c>
      <c r="B997" t="s">
        <v>2023</v>
      </c>
      <c r="C997" t="s">
        <v>20</v>
      </c>
      <c r="D997" t="s">
        <v>21</v>
      </c>
      <c r="E997" t="s">
        <v>38</v>
      </c>
      <c r="F997" s="1">
        <v>45314</v>
      </c>
      <c r="G997" s="1">
        <v>45329</v>
      </c>
      <c r="H997">
        <v>251321</v>
      </c>
      <c r="I997">
        <v>6484</v>
      </c>
      <c r="J997">
        <v>580</v>
      </c>
      <c r="K997">
        <v>20268.919999999998</v>
      </c>
      <c r="L997">
        <v>99321.14</v>
      </c>
      <c r="M997">
        <v>2.58</v>
      </c>
      <c r="N997">
        <v>8.9600000000000009</v>
      </c>
      <c r="O997">
        <v>3.13</v>
      </c>
      <c r="P997">
        <v>34.950000000000003</v>
      </c>
      <c r="Q997">
        <v>4.9000000000000004</v>
      </c>
      <c r="R997">
        <v>390.02</v>
      </c>
    </row>
    <row r="998" spans="1:18" x14ac:dyDescent="0.3">
      <c r="A998" t="s">
        <v>2024</v>
      </c>
      <c r="B998" t="s">
        <v>2025</v>
      </c>
      <c r="C998" t="s">
        <v>29</v>
      </c>
      <c r="D998" t="s">
        <v>21</v>
      </c>
      <c r="E998" t="s">
        <v>22</v>
      </c>
      <c r="F998" s="1">
        <v>45346</v>
      </c>
      <c r="G998" s="1">
        <v>45387</v>
      </c>
      <c r="H998">
        <v>124782</v>
      </c>
      <c r="I998">
        <v>5390</v>
      </c>
      <c r="J998">
        <v>269</v>
      </c>
      <c r="K998">
        <v>14886.01</v>
      </c>
      <c r="L998">
        <v>30401.439999999999</v>
      </c>
      <c r="M998">
        <v>4.32</v>
      </c>
      <c r="N998">
        <v>5</v>
      </c>
      <c r="O998">
        <v>2.76</v>
      </c>
      <c r="P998">
        <v>55.34</v>
      </c>
      <c r="Q998">
        <v>2.04</v>
      </c>
      <c r="R998">
        <v>104.23</v>
      </c>
    </row>
    <row r="999" spans="1:18" x14ac:dyDescent="0.3">
      <c r="A999" t="s">
        <v>2026</v>
      </c>
      <c r="B999" t="s">
        <v>2027</v>
      </c>
      <c r="C999" t="s">
        <v>44</v>
      </c>
      <c r="D999" t="s">
        <v>21</v>
      </c>
      <c r="E999" t="s">
        <v>41</v>
      </c>
      <c r="F999" s="1">
        <v>45461</v>
      </c>
      <c r="G999" s="1">
        <v>45498</v>
      </c>
      <c r="H999">
        <v>122996</v>
      </c>
      <c r="I999">
        <v>3013</v>
      </c>
      <c r="J999">
        <v>104</v>
      </c>
      <c r="K999">
        <v>8054.08</v>
      </c>
      <c r="L999">
        <v>22021.06</v>
      </c>
      <c r="M999">
        <v>2.4500000000000002</v>
      </c>
      <c r="N999">
        <v>3.47</v>
      </c>
      <c r="O999">
        <v>2.67</v>
      </c>
      <c r="P999">
        <v>77.44</v>
      </c>
      <c r="Q999">
        <v>2.73</v>
      </c>
      <c r="R999">
        <v>173.41</v>
      </c>
    </row>
    <row r="1000" spans="1:18" x14ac:dyDescent="0.3">
      <c r="A1000" t="s">
        <v>2028</v>
      </c>
      <c r="B1000" t="s">
        <v>2029</v>
      </c>
      <c r="C1000" t="s">
        <v>29</v>
      </c>
      <c r="D1000" t="s">
        <v>34</v>
      </c>
      <c r="E1000" t="s">
        <v>26</v>
      </c>
      <c r="F1000" s="1">
        <v>45344</v>
      </c>
      <c r="G1000" s="1">
        <v>45385</v>
      </c>
      <c r="H1000">
        <v>334964</v>
      </c>
      <c r="I1000">
        <v>11991</v>
      </c>
      <c r="J1000">
        <v>616</v>
      </c>
      <c r="K1000">
        <v>4846.13</v>
      </c>
      <c r="L1000">
        <v>27681.88</v>
      </c>
      <c r="M1000">
        <v>3.58</v>
      </c>
      <c r="N1000">
        <v>5.14</v>
      </c>
      <c r="O1000">
        <v>0.4</v>
      </c>
      <c r="P1000">
        <v>7.87</v>
      </c>
      <c r="Q1000">
        <v>5.71</v>
      </c>
      <c r="R1000">
        <v>471.22</v>
      </c>
    </row>
    <row r="1001" spans="1:18" x14ac:dyDescent="0.3">
      <c r="A1001" t="s">
        <v>2030</v>
      </c>
      <c r="B1001" t="s">
        <v>2031</v>
      </c>
      <c r="C1001" t="s">
        <v>44</v>
      </c>
      <c r="D1001" t="s">
        <v>21</v>
      </c>
      <c r="E1001" t="s">
        <v>31</v>
      </c>
      <c r="F1001" s="1">
        <v>45489</v>
      </c>
      <c r="G1001" s="1">
        <v>45505</v>
      </c>
      <c r="H1001">
        <v>488558</v>
      </c>
      <c r="I1001">
        <v>11139</v>
      </c>
      <c r="J1001">
        <v>167</v>
      </c>
      <c r="K1001">
        <v>5303.91</v>
      </c>
      <c r="L1001">
        <v>16018.01</v>
      </c>
      <c r="M1001">
        <v>2.2799999999999998</v>
      </c>
      <c r="N1001">
        <v>1.5</v>
      </c>
      <c r="O1001">
        <v>0.48</v>
      </c>
      <c r="P1001">
        <v>31.76</v>
      </c>
      <c r="Q1001">
        <v>3.02</v>
      </c>
      <c r="R1001">
        <v>202</v>
      </c>
    </row>
    <row r="1002" spans="1:18" x14ac:dyDescent="0.3">
      <c r="A1002" t="s">
        <v>2032</v>
      </c>
      <c r="B1002" t="s">
        <v>2033</v>
      </c>
      <c r="C1002" t="s">
        <v>44</v>
      </c>
      <c r="D1002" t="s">
        <v>57</v>
      </c>
      <c r="E1002" t="s">
        <v>41</v>
      </c>
      <c r="F1002" s="1">
        <v>45378</v>
      </c>
      <c r="G1002" s="1">
        <v>45392</v>
      </c>
      <c r="H1002">
        <v>408831</v>
      </c>
      <c r="I1002">
        <v>8994</v>
      </c>
      <c r="J1002">
        <v>412</v>
      </c>
      <c r="K1002">
        <v>12784.81</v>
      </c>
      <c r="L1002">
        <v>32036.68</v>
      </c>
      <c r="M1002">
        <v>2.2000000000000002</v>
      </c>
      <c r="N1002">
        <v>4.59</v>
      </c>
      <c r="O1002">
        <v>1.42</v>
      </c>
      <c r="P1002">
        <v>31.03</v>
      </c>
      <c r="Q1002">
        <v>2.5099999999999998</v>
      </c>
      <c r="R1002">
        <v>150.58000000000001</v>
      </c>
    </row>
    <row r="1003" spans="1:18" x14ac:dyDescent="0.3">
      <c r="A1003" t="s">
        <v>2034</v>
      </c>
      <c r="B1003" t="s">
        <v>2035</v>
      </c>
      <c r="C1003" t="s">
        <v>29</v>
      </c>
      <c r="D1003" t="s">
        <v>21</v>
      </c>
      <c r="E1003" t="s">
        <v>22</v>
      </c>
      <c r="F1003" s="1">
        <v>45335</v>
      </c>
      <c r="G1003" s="1">
        <v>45344</v>
      </c>
      <c r="H1003">
        <v>237332</v>
      </c>
      <c r="I1003">
        <v>4105</v>
      </c>
      <c r="J1003">
        <v>150</v>
      </c>
      <c r="K1003">
        <v>8407.4</v>
      </c>
      <c r="L1003">
        <v>51799.34</v>
      </c>
      <c r="M1003">
        <v>1.73</v>
      </c>
      <c r="N1003">
        <v>3.67</v>
      </c>
      <c r="O1003">
        <v>2.0499999999999998</v>
      </c>
      <c r="P1003">
        <v>56.05</v>
      </c>
      <c r="Q1003">
        <v>6.16</v>
      </c>
      <c r="R1003">
        <v>516.12</v>
      </c>
    </row>
    <row r="1004" spans="1:18" x14ac:dyDescent="0.3">
      <c r="A1004" t="s">
        <v>2036</v>
      </c>
      <c r="B1004" t="s">
        <v>2037</v>
      </c>
      <c r="C1004" t="s">
        <v>37</v>
      </c>
      <c r="D1004" t="s">
        <v>34</v>
      </c>
      <c r="E1004" t="s">
        <v>41</v>
      </c>
      <c r="F1004" s="1">
        <v>45446</v>
      </c>
      <c r="G1004" s="1">
        <v>45471</v>
      </c>
      <c r="H1004">
        <v>274724</v>
      </c>
      <c r="I1004">
        <v>19725</v>
      </c>
      <c r="J1004">
        <v>2761</v>
      </c>
      <c r="K1004">
        <v>3557.45</v>
      </c>
      <c r="L1004">
        <v>9519.7000000000007</v>
      </c>
      <c r="M1004">
        <v>7.18</v>
      </c>
      <c r="N1004">
        <v>14</v>
      </c>
      <c r="O1004">
        <v>0.18</v>
      </c>
      <c r="P1004">
        <v>1.29</v>
      </c>
      <c r="Q1004">
        <v>2.68</v>
      </c>
      <c r="R1004">
        <v>167.6</v>
      </c>
    </row>
    <row r="1005" spans="1:18" x14ac:dyDescent="0.3">
      <c r="A1005" t="s">
        <v>2038</v>
      </c>
      <c r="B1005" t="s">
        <v>2039</v>
      </c>
      <c r="C1005" t="s">
        <v>44</v>
      </c>
      <c r="D1005" t="s">
        <v>21</v>
      </c>
      <c r="E1005" t="s">
        <v>22</v>
      </c>
      <c r="F1005" s="1">
        <v>45331</v>
      </c>
      <c r="G1005" s="1">
        <v>45338</v>
      </c>
      <c r="H1005">
        <v>311751</v>
      </c>
      <c r="I1005">
        <v>9103</v>
      </c>
      <c r="J1005">
        <v>434</v>
      </c>
      <c r="K1005">
        <v>12633.99</v>
      </c>
      <c r="L1005">
        <v>65707.87</v>
      </c>
      <c r="M1005">
        <v>2.92</v>
      </c>
      <c r="N1005">
        <v>4.7699999999999996</v>
      </c>
      <c r="O1005">
        <v>1.39</v>
      </c>
      <c r="P1005">
        <v>29.11</v>
      </c>
      <c r="Q1005">
        <v>5.2</v>
      </c>
      <c r="R1005">
        <v>420.09</v>
      </c>
    </row>
    <row r="1006" spans="1:18" x14ac:dyDescent="0.3">
      <c r="A1006" t="s">
        <v>2040</v>
      </c>
      <c r="B1006" t="s">
        <v>2041</v>
      </c>
      <c r="C1006" t="s">
        <v>29</v>
      </c>
      <c r="D1006" t="s">
        <v>34</v>
      </c>
      <c r="E1006" t="s">
        <v>22</v>
      </c>
      <c r="F1006" s="1">
        <v>45326</v>
      </c>
      <c r="G1006" s="1">
        <v>45340</v>
      </c>
      <c r="H1006">
        <v>127479</v>
      </c>
      <c r="I1006">
        <v>3403</v>
      </c>
      <c r="J1006">
        <v>190</v>
      </c>
      <c r="K1006">
        <v>14783.19</v>
      </c>
      <c r="L1006">
        <v>61393.760000000002</v>
      </c>
      <c r="M1006">
        <v>2.67</v>
      </c>
      <c r="N1006">
        <v>5.61</v>
      </c>
      <c r="O1006">
        <v>4.34</v>
      </c>
      <c r="P1006">
        <v>77.81</v>
      </c>
      <c r="Q1006">
        <v>4.1500000000000004</v>
      </c>
      <c r="R1006">
        <v>315.29000000000002</v>
      </c>
    </row>
    <row r="1007" spans="1:18" x14ac:dyDescent="0.3">
      <c r="A1007" t="s">
        <v>2042</v>
      </c>
      <c r="B1007" t="s">
        <v>2043</v>
      </c>
      <c r="C1007" t="s">
        <v>37</v>
      </c>
      <c r="D1007" t="s">
        <v>30</v>
      </c>
      <c r="E1007" t="s">
        <v>22</v>
      </c>
      <c r="F1007" s="1">
        <v>45455</v>
      </c>
      <c r="G1007" s="1">
        <v>45493</v>
      </c>
      <c r="H1007">
        <v>125847</v>
      </c>
      <c r="I1007">
        <v>5713</v>
      </c>
      <c r="J1007">
        <v>1025</v>
      </c>
      <c r="K1007">
        <v>1318.43</v>
      </c>
      <c r="L1007">
        <v>4921.1400000000003</v>
      </c>
      <c r="M1007">
        <v>4.54</v>
      </c>
      <c r="N1007">
        <v>17.95</v>
      </c>
      <c r="O1007">
        <v>0.23</v>
      </c>
      <c r="P1007">
        <v>1.29</v>
      </c>
      <c r="Q1007">
        <v>3.73</v>
      </c>
      <c r="R1007">
        <v>273.26</v>
      </c>
    </row>
    <row r="1008" spans="1:18" x14ac:dyDescent="0.3">
      <c r="A1008" t="s">
        <v>2044</v>
      </c>
      <c r="B1008" t="s">
        <v>2045</v>
      </c>
      <c r="C1008" t="s">
        <v>25</v>
      </c>
      <c r="D1008" t="s">
        <v>30</v>
      </c>
      <c r="E1008" t="s">
        <v>38</v>
      </c>
      <c r="F1008" s="1">
        <v>45417</v>
      </c>
      <c r="G1008" s="1">
        <v>45448</v>
      </c>
      <c r="H1008">
        <v>365486</v>
      </c>
      <c r="I1008">
        <v>7857</v>
      </c>
      <c r="J1008">
        <v>575</v>
      </c>
      <c r="K1008">
        <v>16834.25</v>
      </c>
      <c r="L1008">
        <v>83208.23</v>
      </c>
      <c r="M1008">
        <v>2.15</v>
      </c>
      <c r="N1008">
        <v>7.33</v>
      </c>
      <c r="O1008">
        <v>2.14</v>
      </c>
      <c r="P1008">
        <v>29.28</v>
      </c>
      <c r="Q1008">
        <v>4.9400000000000004</v>
      </c>
      <c r="R1008">
        <v>394.28</v>
      </c>
    </row>
    <row r="1009" spans="1:18" x14ac:dyDescent="0.3">
      <c r="A1009" t="s">
        <v>2046</v>
      </c>
      <c r="B1009" t="s">
        <v>2047</v>
      </c>
      <c r="C1009" t="s">
        <v>25</v>
      </c>
      <c r="D1009" t="s">
        <v>30</v>
      </c>
      <c r="E1009" t="s">
        <v>31</v>
      </c>
      <c r="F1009" s="1">
        <v>45507</v>
      </c>
      <c r="G1009" s="1">
        <v>45547</v>
      </c>
      <c r="H1009">
        <v>329849</v>
      </c>
      <c r="I1009">
        <v>5409</v>
      </c>
      <c r="J1009">
        <v>473</v>
      </c>
      <c r="K1009">
        <v>7681.83</v>
      </c>
      <c r="L1009">
        <v>18254.18</v>
      </c>
      <c r="M1009">
        <v>1.64</v>
      </c>
      <c r="N1009">
        <v>8.75</v>
      </c>
      <c r="O1009">
        <v>1.42</v>
      </c>
      <c r="P1009">
        <v>16.239999999999998</v>
      </c>
      <c r="Q1009">
        <v>2.38</v>
      </c>
      <c r="R1009">
        <v>137.63</v>
      </c>
    </row>
    <row r="1010" spans="1:18" x14ac:dyDescent="0.3">
      <c r="A1010" t="s">
        <v>2048</v>
      </c>
      <c r="B1010" t="s">
        <v>2049</v>
      </c>
      <c r="C1010" t="s">
        <v>37</v>
      </c>
      <c r="D1010" t="s">
        <v>34</v>
      </c>
      <c r="E1010" t="s">
        <v>26</v>
      </c>
      <c r="F1010" s="1">
        <v>45534</v>
      </c>
      <c r="G1010" s="1">
        <v>45549</v>
      </c>
      <c r="H1010">
        <v>173308</v>
      </c>
      <c r="I1010">
        <v>10693</v>
      </c>
      <c r="J1010">
        <v>1072</v>
      </c>
      <c r="K1010">
        <v>4327.68</v>
      </c>
      <c r="L1010">
        <v>15712.91</v>
      </c>
      <c r="M1010">
        <v>6.17</v>
      </c>
      <c r="N1010">
        <v>10.029999999999999</v>
      </c>
      <c r="O1010">
        <v>0.4</v>
      </c>
      <c r="P1010">
        <v>4.04</v>
      </c>
      <c r="Q1010">
        <v>3.63</v>
      </c>
      <c r="R1010">
        <v>263.08</v>
      </c>
    </row>
    <row r="1011" spans="1:18" x14ac:dyDescent="0.3">
      <c r="A1011" t="s">
        <v>2050</v>
      </c>
      <c r="B1011" t="s">
        <v>2051</v>
      </c>
      <c r="C1011" t="s">
        <v>20</v>
      </c>
      <c r="D1011" t="s">
        <v>21</v>
      </c>
      <c r="E1011" t="s">
        <v>22</v>
      </c>
      <c r="F1011" s="1">
        <v>45365</v>
      </c>
      <c r="G1011" s="1">
        <v>45407</v>
      </c>
      <c r="H1011">
        <v>239193</v>
      </c>
      <c r="I1011">
        <v>14112</v>
      </c>
      <c r="J1011">
        <v>1298</v>
      </c>
      <c r="K1011">
        <v>21380.21</v>
      </c>
      <c r="L1011">
        <v>71113.52</v>
      </c>
      <c r="M1011">
        <v>5.9</v>
      </c>
      <c r="N1011">
        <v>9.1999999999999993</v>
      </c>
      <c r="O1011">
        <v>1.52</v>
      </c>
      <c r="P1011">
        <v>16.47</v>
      </c>
      <c r="Q1011">
        <v>3.33</v>
      </c>
      <c r="R1011">
        <v>232.61</v>
      </c>
    </row>
    <row r="1012" spans="1:18" x14ac:dyDescent="0.3">
      <c r="A1012" t="s">
        <v>2052</v>
      </c>
      <c r="B1012" t="s">
        <v>2053</v>
      </c>
      <c r="C1012" t="s">
        <v>25</v>
      </c>
      <c r="D1012" t="s">
        <v>34</v>
      </c>
      <c r="E1012" t="s">
        <v>41</v>
      </c>
      <c r="F1012" s="1">
        <v>45365</v>
      </c>
      <c r="G1012" s="1">
        <v>45396</v>
      </c>
      <c r="H1012">
        <v>484017</v>
      </c>
      <c r="I1012">
        <v>5711</v>
      </c>
      <c r="J1012">
        <v>584</v>
      </c>
      <c r="K1012">
        <v>5875.77</v>
      </c>
      <c r="L1012">
        <v>30148.65</v>
      </c>
      <c r="M1012">
        <v>1.18</v>
      </c>
      <c r="N1012">
        <v>10.23</v>
      </c>
      <c r="O1012">
        <v>1.03</v>
      </c>
      <c r="P1012">
        <v>10.06</v>
      </c>
      <c r="Q1012">
        <v>5.13</v>
      </c>
      <c r="R1012">
        <v>413.1</v>
      </c>
    </row>
    <row r="1013" spans="1:18" x14ac:dyDescent="0.3">
      <c r="A1013" t="s">
        <v>2054</v>
      </c>
      <c r="B1013" t="s">
        <v>2055</v>
      </c>
      <c r="C1013" t="s">
        <v>20</v>
      </c>
      <c r="D1013" t="s">
        <v>30</v>
      </c>
      <c r="E1013" t="s">
        <v>22</v>
      </c>
      <c r="F1013" s="1">
        <v>45372</v>
      </c>
      <c r="G1013" s="1">
        <v>45380</v>
      </c>
      <c r="H1013">
        <v>78355</v>
      </c>
      <c r="I1013">
        <v>4160</v>
      </c>
      <c r="J1013">
        <v>331</v>
      </c>
      <c r="K1013">
        <v>6475.41</v>
      </c>
      <c r="L1013">
        <v>37353.19</v>
      </c>
      <c r="M1013">
        <v>5.31</v>
      </c>
      <c r="N1013">
        <v>7.98</v>
      </c>
      <c r="O1013">
        <v>1.56</v>
      </c>
      <c r="P1013">
        <v>19.559999999999999</v>
      </c>
      <c r="Q1013">
        <v>5.77</v>
      </c>
      <c r="R1013">
        <v>476.85</v>
      </c>
    </row>
    <row r="1014" spans="1:18" x14ac:dyDescent="0.3">
      <c r="A1014" t="s">
        <v>2056</v>
      </c>
      <c r="B1014" t="s">
        <v>2057</v>
      </c>
      <c r="C1014" t="s">
        <v>29</v>
      </c>
      <c r="D1014" t="s">
        <v>57</v>
      </c>
      <c r="E1014" t="s">
        <v>41</v>
      </c>
      <c r="F1014" s="1">
        <v>45385</v>
      </c>
      <c r="G1014" s="1">
        <v>45422</v>
      </c>
      <c r="H1014">
        <v>91415</v>
      </c>
      <c r="I1014">
        <v>2047</v>
      </c>
      <c r="J1014">
        <v>42</v>
      </c>
      <c r="K1014">
        <v>15466.02</v>
      </c>
      <c r="L1014">
        <v>59918.87</v>
      </c>
      <c r="M1014">
        <v>2.2400000000000002</v>
      </c>
      <c r="N1014">
        <v>2.06</v>
      </c>
      <c r="O1014">
        <v>7.56</v>
      </c>
      <c r="P1014">
        <v>368.24</v>
      </c>
      <c r="Q1014">
        <v>3.87</v>
      </c>
      <c r="R1014">
        <v>287.42</v>
      </c>
    </row>
    <row r="1015" spans="1:18" x14ac:dyDescent="0.3">
      <c r="A1015" t="s">
        <v>2058</v>
      </c>
      <c r="B1015" t="s">
        <v>2059</v>
      </c>
      <c r="C1015" t="s">
        <v>29</v>
      </c>
      <c r="D1015" t="s">
        <v>57</v>
      </c>
      <c r="E1015" t="s">
        <v>38</v>
      </c>
      <c r="F1015" s="1">
        <v>45348</v>
      </c>
      <c r="G1015" s="1">
        <v>45364</v>
      </c>
      <c r="H1015">
        <v>265756</v>
      </c>
      <c r="I1015">
        <v>9753</v>
      </c>
      <c r="J1015">
        <v>411</v>
      </c>
      <c r="K1015">
        <v>12672.71</v>
      </c>
      <c r="L1015">
        <v>26098.720000000001</v>
      </c>
      <c r="M1015">
        <v>3.67</v>
      </c>
      <c r="N1015">
        <v>4.22</v>
      </c>
      <c r="O1015">
        <v>1.3</v>
      </c>
      <c r="P1015">
        <v>30.83</v>
      </c>
      <c r="Q1015">
        <v>2.06</v>
      </c>
      <c r="R1015">
        <v>105.94</v>
      </c>
    </row>
    <row r="1016" spans="1:18" x14ac:dyDescent="0.3">
      <c r="A1016" t="s">
        <v>2060</v>
      </c>
      <c r="B1016" t="s">
        <v>2061</v>
      </c>
      <c r="C1016" t="s">
        <v>20</v>
      </c>
      <c r="D1016" t="s">
        <v>21</v>
      </c>
      <c r="E1016" t="s">
        <v>31</v>
      </c>
      <c r="F1016" s="1">
        <v>45524</v>
      </c>
      <c r="G1016" s="1">
        <v>45566</v>
      </c>
      <c r="H1016">
        <v>443809</v>
      </c>
      <c r="I1016">
        <v>14157</v>
      </c>
      <c r="J1016">
        <v>702</v>
      </c>
      <c r="K1016">
        <v>12927.81</v>
      </c>
      <c r="L1016">
        <v>50499.82</v>
      </c>
      <c r="M1016">
        <v>3.19</v>
      </c>
      <c r="N1016">
        <v>4.96</v>
      </c>
      <c r="O1016">
        <v>0.91</v>
      </c>
      <c r="P1016">
        <v>18.420000000000002</v>
      </c>
      <c r="Q1016">
        <v>3.91</v>
      </c>
      <c r="R1016">
        <v>290.63</v>
      </c>
    </row>
    <row r="1017" spans="1:18" x14ac:dyDescent="0.3">
      <c r="A1017" t="s">
        <v>2062</v>
      </c>
      <c r="B1017" t="s">
        <v>2063</v>
      </c>
      <c r="C1017" t="s">
        <v>44</v>
      </c>
      <c r="D1017" t="s">
        <v>57</v>
      </c>
      <c r="E1017" t="s">
        <v>41</v>
      </c>
      <c r="F1017" s="1">
        <v>45356</v>
      </c>
      <c r="G1017" s="1">
        <v>45376</v>
      </c>
      <c r="H1017">
        <v>272125</v>
      </c>
      <c r="I1017">
        <v>9850</v>
      </c>
      <c r="J1017">
        <v>241</v>
      </c>
      <c r="K1017">
        <v>3649.21</v>
      </c>
      <c r="L1017">
        <v>13498.51</v>
      </c>
      <c r="M1017">
        <v>3.62</v>
      </c>
      <c r="N1017">
        <v>2.4500000000000002</v>
      </c>
      <c r="O1017">
        <v>0.37</v>
      </c>
      <c r="P1017">
        <v>15.14</v>
      </c>
      <c r="Q1017">
        <v>3.7</v>
      </c>
      <c r="R1017">
        <v>269.89999999999998</v>
      </c>
    </row>
    <row r="1018" spans="1:18" x14ac:dyDescent="0.3">
      <c r="A1018" t="s">
        <v>2064</v>
      </c>
      <c r="B1018" t="s">
        <v>2065</v>
      </c>
      <c r="C1018" t="s">
        <v>25</v>
      </c>
      <c r="D1018" t="s">
        <v>21</v>
      </c>
      <c r="E1018" t="s">
        <v>41</v>
      </c>
      <c r="F1018" s="1">
        <v>45531</v>
      </c>
      <c r="G1018" s="1">
        <v>45568</v>
      </c>
      <c r="H1018">
        <v>255673</v>
      </c>
      <c r="I1018">
        <v>2837</v>
      </c>
      <c r="J1018">
        <v>289</v>
      </c>
      <c r="K1018">
        <v>12948.71</v>
      </c>
      <c r="L1018">
        <v>74943.360000000001</v>
      </c>
      <c r="M1018">
        <v>1.1100000000000001</v>
      </c>
      <c r="N1018">
        <v>10.220000000000001</v>
      </c>
      <c r="O1018">
        <v>4.5599999999999996</v>
      </c>
      <c r="P1018">
        <v>44.81</v>
      </c>
      <c r="Q1018">
        <v>5.79</v>
      </c>
      <c r="R1018">
        <v>478.77</v>
      </c>
    </row>
    <row r="1019" spans="1:18" x14ac:dyDescent="0.3">
      <c r="A1019" t="s">
        <v>2066</v>
      </c>
      <c r="B1019" t="s">
        <v>2067</v>
      </c>
      <c r="C1019" t="s">
        <v>44</v>
      </c>
      <c r="D1019" t="s">
        <v>30</v>
      </c>
      <c r="E1019" t="s">
        <v>38</v>
      </c>
      <c r="F1019" s="1">
        <v>45345</v>
      </c>
      <c r="G1019" s="1">
        <v>45356</v>
      </c>
      <c r="H1019">
        <v>136415</v>
      </c>
      <c r="I1019">
        <v>1827</v>
      </c>
      <c r="J1019">
        <v>51</v>
      </c>
      <c r="K1019">
        <v>7802.77</v>
      </c>
      <c r="L1019">
        <v>25083.08</v>
      </c>
      <c r="M1019">
        <v>1.34</v>
      </c>
      <c r="N1019">
        <v>2.8</v>
      </c>
      <c r="O1019">
        <v>4.2699999999999996</v>
      </c>
      <c r="P1019">
        <v>153</v>
      </c>
      <c r="Q1019">
        <v>3.21</v>
      </c>
      <c r="R1019">
        <v>221.46</v>
      </c>
    </row>
    <row r="1020" spans="1:18" x14ac:dyDescent="0.3">
      <c r="A1020" t="s">
        <v>2068</v>
      </c>
      <c r="B1020" t="s">
        <v>2069</v>
      </c>
      <c r="C1020" t="s">
        <v>44</v>
      </c>
      <c r="D1020" t="s">
        <v>57</v>
      </c>
      <c r="E1020" t="s">
        <v>26</v>
      </c>
      <c r="F1020" s="1">
        <v>45450</v>
      </c>
      <c r="G1020" s="1">
        <v>45469</v>
      </c>
      <c r="H1020">
        <v>175582</v>
      </c>
      <c r="I1020">
        <v>3388</v>
      </c>
      <c r="J1020">
        <v>115</v>
      </c>
      <c r="K1020">
        <v>3316.49</v>
      </c>
      <c r="L1020">
        <v>15544.38</v>
      </c>
      <c r="M1020">
        <v>1.93</v>
      </c>
      <c r="N1020">
        <v>3.4</v>
      </c>
      <c r="O1020">
        <v>0.98</v>
      </c>
      <c r="P1020">
        <v>28.84</v>
      </c>
      <c r="Q1020">
        <v>4.6900000000000004</v>
      </c>
      <c r="R1020">
        <v>368.7</v>
      </c>
    </row>
    <row r="1021" spans="1:18" x14ac:dyDescent="0.3">
      <c r="A1021" t="s">
        <v>2070</v>
      </c>
      <c r="B1021" t="s">
        <v>2071</v>
      </c>
      <c r="C1021" t="s">
        <v>37</v>
      </c>
      <c r="D1021" t="s">
        <v>34</v>
      </c>
      <c r="E1021" t="s">
        <v>26</v>
      </c>
      <c r="F1021" s="1">
        <v>45539</v>
      </c>
      <c r="G1021" s="1">
        <v>45548</v>
      </c>
      <c r="H1021">
        <v>176004</v>
      </c>
      <c r="I1021">
        <v>9891</v>
      </c>
      <c r="J1021">
        <v>1757</v>
      </c>
      <c r="K1021">
        <v>3041.59</v>
      </c>
      <c r="L1021">
        <v>13799.17</v>
      </c>
      <c r="M1021">
        <v>5.62</v>
      </c>
      <c r="N1021">
        <v>17.77</v>
      </c>
      <c r="O1021">
        <v>0.31</v>
      </c>
      <c r="P1021">
        <v>1.73</v>
      </c>
      <c r="Q1021">
        <v>4.54</v>
      </c>
      <c r="R1021">
        <v>353.68</v>
      </c>
    </row>
    <row r="1022" spans="1:18" x14ac:dyDescent="0.3">
      <c r="A1022" t="s">
        <v>2072</v>
      </c>
      <c r="B1022" t="s">
        <v>2073</v>
      </c>
      <c r="C1022" t="s">
        <v>20</v>
      </c>
      <c r="D1022" t="s">
        <v>57</v>
      </c>
      <c r="E1022" t="s">
        <v>26</v>
      </c>
      <c r="F1022" s="1">
        <v>45391</v>
      </c>
      <c r="G1022" s="1">
        <v>45418</v>
      </c>
      <c r="H1022">
        <v>211797</v>
      </c>
      <c r="I1022">
        <v>5358</v>
      </c>
      <c r="J1022">
        <v>328</v>
      </c>
      <c r="K1022">
        <v>10648.04</v>
      </c>
      <c r="L1022">
        <v>40373.25</v>
      </c>
      <c r="M1022">
        <v>2.5299999999999998</v>
      </c>
      <c r="N1022">
        <v>6.14</v>
      </c>
      <c r="O1022">
        <v>1.99</v>
      </c>
      <c r="P1022">
        <v>32.46</v>
      </c>
      <c r="Q1022">
        <v>3.79</v>
      </c>
      <c r="R1022">
        <v>279.16000000000003</v>
      </c>
    </row>
    <row r="1023" spans="1:18" x14ac:dyDescent="0.3">
      <c r="A1023" t="s">
        <v>2074</v>
      </c>
      <c r="B1023" t="s">
        <v>2075</v>
      </c>
      <c r="C1023" t="s">
        <v>25</v>
      </c>
      <c r="D1023" t="s">
        <v>57</v>
      </c>
      <c r="E1023" t="s">
        <v>41</v>
      </c>
      <c r="F1023" s="1">
        <v>45549</v>
      </c>
      <c r="G1023" s="1">
        <v>45565</v>
      </c>
      <c r="H1023">
        <v>418394</v>
      </c>
      <c r="I1023">
        <v>8158</v>
      </c>
      <c r="J1023">
        <v>597</v>
      </c>
      <c r="K1023">
        <v>18344.18</v>
      </c>
      <c r="L1023">
        <v>78258.16</v>
      </c>
      <c r="M1023">
        <v>1.95</v>
      </c>
      <c r="N1023">
        <v>7.32</v>
      </c>
      <c r="O1023">
        <v>2.25</v>
      </c>
      <c r="P1023">
        <v>30.73</v>
      </c>
      <c r="Q1023">
        <v>4.2699999999999996</v>
      </c>
      <c r="R1023">
        <v>326.61</v>
      </c>
    </row>
    <row r="1024" spans="1:18" x14ac:dyDescent="0.3">
      <c r="A1024" t="s">
        <v>2076</v>
      </c>
      <c r="B1024" t="s">
        <v>2077</v>
      </c>
      <c r="C1024" t="s">
        <v>20</v>
      </c>
      <c r="D1024" t="s">
        <v>30</v>
      </c>
      <c r="E1024" t="s">
        <v>38</v>
      </c>
      <c r="F1024" s="1">
        <v>45332</v>
      </c>
      <c r="G1024" s="1">
        <v>45344</v>
      </c>
      <c r="H1024">
        <v>357420</v>
      </c>
      <c r="I1024">
        <v>21373</v>
      </c>
      <c r="J1024">
        <v>901</v>
      </c>
      <c r="K1024">
        <v>8224.4599999999991</v>
      </c>
      <c r="L1024">
        <v>41703.629999999997</v>
      </c>
      <c r="M1024">
        <v>5.98</v>
      </c>
      <c r="N1024">
        <v>4.22</v>
      </c>
      <c r="O1024">
        <v>0.38</v>
      </c>
      <c r="P1024">
        <v>9.1300000000000008</v>
      </c>
      <c r="Q1024">
        <v>5.07</v>
      </c>
      <c r="R1024">
        <v>407.07</v>
      </c>
    </row>
    <row r="1025" spans="1:18" x14ac:dyDescent="0.3">
      <c r="A1025" t="s">
        <v>2078</v>
      </c>
      <c r="B1025" t="s">
        <v>2079</v>
      </c>
      <c r="C1025" t="s">
        <v>29</v>
      </c>
      <c r="D1025" t="s">
        <v>34</v>
      </c>
      <c r="E1025" t="s">
        <v>41</v>
      </c>
      <c r="F1025" s="1">
        <v>45603</v>
      </c>
      <c r="G1025" s="1">
        <v>45643</v>
      </c>
      <c r="H1025">
        <v>453086</v>
      </c>
      <c r="I1025">
        <v>16582</v>
      </c>
      <c r="J1025">
        <v>1155</v>
      </c>
      <c r="K1025">
        <v>10524.3</v>
      </c>
      <c r="L1025">
        <v>68042.28</v>
      </c>
      <c r="M1025">
        <v>3.66</v>
      </c>
      <c r="N1025">
        <v>6.97</v>
      </c>
      <c r="O1025">
        <v>0.63</v>
      </c>
      <c r="P1025">
        <v>9.11</v>
      </c>
      <c r="Q1025">
        <v>6.47</v>
      </c>
      <c r="R1025">
        <v>546.53</v>
      </c>
    </row>
    <row r="1026" spans="1:18" x14ac:dyDescent="0.3">
      <c r="A1026" t="s">
        <v>2080</v>
      </c>
      <c r="B1026" t="s">
        <v>2081</v>
      </c>
      <c r="C1026" t="s">
        <v>44</v>
      </c>
      <c r="D1026" t="s">
        <v>30</v>
      </c>
      <c r="E1026" t="s">
        <v>41</v>
      </c>
      <c r="F1026" s="1">
        <v>45490</v>
      </c>
      <c r="G1026" s="1">
        <v>45512</v>
      </c>
      <c r="H1026">
        <v>227744</v>
      </c>
      <c r="I1026">
        <v>4463</v>
      </c>
      <c r="J1026">
        <v>164</v>
      </c>
      <c r="K1026">
        <v>14251.76</v>
      </c>
      <c r="L1026">
        <v>31069.66</v>
      </c>
      <c r="M1026">
        <v>1.96</v>
      </c>
      <c r="N1026">
        <v>3.68</v>
      </c>
      <c r="O1026">
        <v>3.19</v>
      </c>
      <c r="P1026">
        <v>86.9</v>
      </c>
      <c r="Q1026">
        <v>2.1800000000000002</v>
      </c>
      <c r="R1026">
        <v>118.01</v>
      </c>
    </row>
    <row r="1027" spans="1:18" x14ac:dyDescent="0.3">
      <c r="A1027" t="s">
        <v>2082</v>
      </c>
      <c r="B1027" t="s">
        <v>2083</v>
      </c>
      <c r="C1027" t="s">
        <v>29</v>
      </c>
      <c r="D1027" t="s">
        <v>21</v>
      </c>
      <c r="E1027" t="s">
        <v>41</v>
      </c>
      <c r="F1027" s="1">
        <v>45450</v>
      </c>
      <c r="G1027" s="1">
        <v>45492</v>
      </c>
      <c r="H1027">
        <v>347219</v>
      </c>
      <c r="I1027">
        <v>11736</v>
      </c>
      <c r="J1027">
        <v>526</v>
      </c>
      <c r="K1027">
        <v>15070.9</v>
      </c>
      <c r="L1027">
        <v>39814.32</v>
      </c>
      <c r="M1027">
        <v>3.38</v>
      </c>
      <c r="N1027">
        <v>4.49</v>
      </c>
      <c r="O1027">
        <v>1.28</v>
      </c>
      <c r="P1027">
        <v>28.65</v>
      </c>
      <c r="Q1027">
        <v>2.64</v>
      </c>
      <c r="R1027">
        <v>164.18</v>
      </c>
    </row>
    <row r="1028" spans="1:18" x14ac:dyDescent="0.3">
      <c r="A1028" t="s">
        <v>2084</v>
      </c>
      <c r="B1028" t="s">
        <v>2085</v>
      </c>
      <c r="C1028" t="s">
        <v>20</v>
      </c>
      <c r="D1028" t="s">
        <v>30</v>
      </c>
      <c r="E1028" t="s">
        <v>26</v>
      </c>
      <c r="F1028" s="1">
        <v>45478</v>
      </c>
      <c r="G1028" s="1">
        <v>45507</v>
      </c>
      <c r="H1028">
        <v>288450</v>
      </c>
      <c r="I1028">
        <v>10816</v>
      </c>
      <c r="J1028">
        <v>1038</v>
      </c>
      <c r="K1028">
        <v>8229.4500000000007</v>
      </c>
      <c r="L1028">
        <v>26832.35</v>
      </c>
      <c r="M1028">
        <v>3.75</v>
      </c>
      <c r="N1028">
        <v>9.6</v>
      </c>
      <c r="O1028">
        <v>0.76</v>
      </c>
      <c r="P1028">
        <v>7.93</v>
      </c>
      <c r="Q1028">
        <v>3.26</v>
      </c>
      <c r="R1028">
        <v>226.05</v>
      </c>
    </row>
    <row r="1029" spans="1:18" x14ac:dyDescent="0.3">
      <c r="A1029" t="s">
        <v>2086</v>
      </c>
      <c r="B1029" t="s">
        <v>2087</v>
      </c>
      <c r="C1029" t="s">
        <v>20</v>
      </c>
      <c r="D1029" t="s">
        <v>21</v>
      </c>
      <c r="E1029" t="s">
        <v>41</v>
      </c>
      <c r="F1029" s="1">
        <v>45518</v>
      </c>
      <c r="G1029" s="1">
        <v>45533</v>
      </c>
      <c r="H1029">
        <v>422587</v>
      </c>
      <c r="I1029">
        <v>23622</v>
      </c>
      <c r="J1029">
        <v>1311</v>
      </c>
      <c r="K1029">
        <v>14465.22</v>
      </c>
      <c r="L1029">
        <v>45596.09</v>
      </c>
      <c r="M1029">
        <v>5.59</v>
      </c>
      <c r="N1029">
        <v>5.55</v>
      </c>
      <c r="O1029">
        <v>0.61</v>
      </c>
      <c r="P1029">
        <v>11.03</v>
      </c>
      <c r="Q1029">
        <v>3.15</v>
      </c>
      <c r="R1029">
        <v>215.21</v>
      </c>
    </row>
    <row r="1030" spans="1:18" x14ac:dyDescent="0.3">
      <c r="A1030" t="s">
        <v>2088</v>
      </c>
      <c r="B1030" t="s">
        <v>2089</v>
      </c>
      <c r="C1030" t="s">
        <v>20</v>
      </c>
      <c r="D1030" t="s">
        <v>30</v>
      </c>
      <c r="E1030" t="s">
        <v>26</v>
      </c>
      <c r="F1030" s="1">
        <v>45358</v>
      </c>
      <c r="G1030" s="1">
        <v>45393</v>
      </c>
      <c r="H1030">
        <v>240564</v>
      </c>
      <c r="I1030">
        <v>14289</v>
      </c>
      <c r="J1030">
        <v>915</v>
      </c>
      <c r="K1030">
        <v>22140.02</v>
      </c>
      <c r="L1030">
        <v>135654.79</v>
      </c>
      <c r="M1030">
        <v>5.94</v>
      </c>
      <c r="N1030">
        <v>6.41</v>
      </c>
      <c r="O1030">
        <v>1.55</v>
      </c>
      <c r="P1030">
        <v>24.2</v>
      </c>
      <c r="Q1030">
        <v>6.13</v>
      </c>
      <c r="R1030">
        <v>512.71</v>
      </c>
    </row>
    <row r="1031" spans="1:18" x14ac:dyDescent="0.3">
      <c r="A1031" t="s">
        <v>2090</v>
      </c>
      <c r="B1031" t="s">
        <v>2091</v>
      </c>
      <c r="C1031" t="s">
        <v>44</v>
      </c>
      <c r="D1031" t="s">
        <v>57</v>
      </c>
      <c r="E1031" t="s">
        <v>22</v>
      </c>
      <c r="F1031" s="1">
        <v>45313</v>
      </c>
      <c r="G1031" s="1">
        <v>45323</v>
      </c>
      <c r="H1031">
        <v>93773</v>
      </c>
      <c r="I1031">
        <v>2785</v>
      </c>
      <c r="J1031">
        <v>91</v>
      </c>
      <c r="K1031">
        <v>5785.34</v>
      </c>
      <c r="L1031">
        <v>34364.42</v>
      </c>
      <c r="M1031">
        <v>2.97</v>
      </c>
      <c r="N1031">
        <v>3.27</v>
      </c>
      <c r="O1031">
        <v>2.08</v>
      </c>
      <c r="P1031">
        <v>63.58</v>
      </c>
      <c r="Q1031">
        <v>5.94</v>
      </c>
      <c r="R1031">
        <v>493.99</v>
      </c>
    </row>
    <row r="1032" spans="1:18" x14ac:dyDescent="0.3">
      <c r="A1032" t="s">
        <v>2092</v>
      </c>
      <c r="B1032" t="s">
        <v>2093</v>
      </c>
      <c r="C1032" t="s">
        <v>29</v>
      </c>
      <c r="D1032" t="s">
        <v>21</v>
      </c>
      <c r="E1032" t="s">
        <v>41</v>
      </c>
      <c r="F1032" s="1">
        <v>45406</v>
      </c>
      <c r="G1032" s="1">
        <v>45437</v>
      </c>
      <c r="H1032">
        <v>497249</v>
      </c>
      <c r="I1032">
        <v>9049</v>
      </c>
      <c r="J1032">
        <v>351</v>
      </c>
      <c r="K1032">
        <v>11552.01</v>
      </c>
      <c r="L1032">
        <v>67489.52</v>
      </c>
      <c r="M1032">
        <v>1.82</v>
      </c>
      <c r="N1032">
        <v>3.88</v>
      </c>
      <c r="O1032">
        <v>1.28</v>
      </c>
      <c r="P1032">
        <v>32.909999999999997</v>
      </c>
      <c r="Q1032">
        <v>5.84</v>
      </c>
      <c r="R1032">
        <v>484.22</v>
      </c>
    </row>
    <row r="1033" spans="1:18" x14ac:dyDescent="0.3">
      <c r="A1033" t="s">
        <v>2094</v>
      </c>
      <c r="B1033" t="s">
        <v>2095</v>
      </c>
      <c r="C1033" t="s">
        <v>25</v>
      </c>
      <c r="D1033" t="s">
        <v>21</v>
      </c>
      <c r="E1033" t="s">
        <v>22</v>
      </c>
      <c r="F1033" s="1">
        <v>45384</v>
      </c>
      <c r="G1033" s="1">
        <v>45397</v>
      </c>
      <c r="H1033">
        <v>294254</v>
      </c>
      <c r="I1033">
        <v>4708</v>
      </c>
      <c r="J1033">
        <v>411</v>
      </c>
      <c r="K1033">
        <v>17092.64</v>
      </c>
      <c r="L1033">
        <v>42578.38</v>
      </c>
      <c r="M1033">
        <v>1.6</v>
      </c>
      <c r="N1033">
        <v>8.75</v>
      </c>
      <c r="O1033">
        <v>3.63</v>
      </c>
      <c r="P1033">
        <v>41.59</v>
      </c>
      <c r="Q1033">
        <v>2.4900000000000002</v>
      </c>
      <c r="R1033">
        <v>149.1</v>
      </c>
    </row>
    <row r="1034" spans="1:18" x14ac:dyDescent="0.3">
      <c r="A1034" t="s">
        <v>2096</v>
      </c>
      <c r="B1034" t="s">
        <v>2097</v>
      </c>
      <c r="C1034" t="s">
        <v>25</v>
      </c>
      <c r="D1034" t="s">
        <v>30</v>
      </c>
      <c r="E1034" t="s">
        <v>41</v>
      </c>
      <c r="F1034" s="1">
        <v>45535</v>
      </c>
      <c r="G1034" s="1">
        <v>45549</v>
      </c>
      <c r="H1034">
        <v>260512</v>
      </c>
      <c r="I1034">
        <v>3542</v>
      </c>
      <c r="J1034">
        <v>255</v>
      </c>
      <c r="K1034">
        <v>19943.009999999998</v>
      </c>
      <c r="L1034">
        <v>83527.86</v>
      </c>
      <c r="M1034">
        <v>1.36</v>
      </c>
      <c r="N1034">
        <v>7.22</v>
      </c>
      <c r="O1034">
        <v>5.63</v>
      </c>
      <c r="P1034">
        <v>78.209999999999994</v>
      </c>
      <c r="Q1034">
        <v>4.1900000000000004</v>
      </c>
      <c r="R1034">
        <v>318.83</v>
      </c>
    </row>
    <row r="1035" spans="1:18" x14ac:dyDescent="0.3">
      <c r="A1035" t="s">
        <v>2098</v>
      </c>
      <c r="B1035" t="s">
        <v>2099</v>
      </c>
      <c r="C1035" t="s">
        <v>44</v>
      </c>
      <c r="D1035" t="s">
        <v>30</v>
      </c>
      <c r="E1035" t="s">
        <v>26</v>
      </c>
      <c r="F1035" s="1">
        <v>45308</v>
      </c>
      <c r="G1035" s="1">
        <v>45353</v>
      </c>
      <c r="H1035">
        <v>335779</v>
      </c>
      <c r="I1035">
        <v>5372</v>
      </c>
      <c r="J1035">
        <v>168</v>
      </c>
      <c r="K1035">
        <v>10502.7</v>
      </c>
      <c r="L1035">
        <v>36138.11</v>
      </c>
      <c r="M1035">
        <v>1.6</v>
      </c>
      <c r="N1035">
        <v>3.14</v>
      </c>
      <c r="O1035">
        <v>1.96</v>
      </c>
      <c r="P1035">
        <v>62.52</v>
      </c>
      <c r="Q1035">
        <v>3.44</v>
      </c>
      <c r="R1035">
        <v>244.08</v>
      </c>
    </row>
    <row r="1036" spans="1:18" x14ac:dyDescent="0.3">
      <c r="A1036" t="s">
        <v>2100</v>
      </c>
      <c r="B1036" t="s">
        <v>2101</v>
      </c>
      <c r="C1036" t="s">
        <v>25</v>
      </c>
      <c r="D1036" t="s">
        <v>21</v>
      </c>
      <c r="E1036" t="s">
        <v>22</v>
      </c>
      <c r="F1036" s="1">
        <v>45508</v>
      </c>
      <c r="G1036" s="1">
        <v>45532</v>
      </c>
      <c r="H1036">
        <v>463956</v>
      </c>
      <c r="I1036">
        <v>7098</v>
      </c>
      <c r="J1036">
        <v>589</v>
      </c>
      <c r="K1036">
        <v>4865.24</v>
      </c>
      <c r="L1036">
        <v>28734.560000000001</v>
      </c>
      <c r="M1036">
        <v>1.53</v>
      </c>
      <c r="N1036">
        <v>8.31</v>
      </c>
      <c r="O1036">
        <v>0.69</v>
      </c>
      <c r="P1036">
        <v>8.26</v>
      </c>
      <c r="Q1036">
        <v>5.91</v>
      </c>
      <c r="R1036">
        <v>490.61</v>
      </c>
    </row>
    <row r="1037" spans="1:18" x14ac:dyDescent="0.3">
      <c r="A1037" t="s">
        <v>2102</v>
      </c>
      <c r="B1037" t="s">
        <v>2103</v>
      </c>
      <c r="C1037" t="s">
        <v>44</v>
      </c>
      <c r="D1037" t="s">
        <v>34</v>
      </c>
      <c r="E1037" t="s">
        <v>26</v>
      </c>
      <c r="F1037" s="1">
        <v>45506</v>
      </c>
      <c r="G1037" s="1">
        <v>45546</v>
      </c>
      <c r="H1037">
        <v>124311</v>
      </c>
      <c r="I1037">
        <v>1715</v>
      </c>
      <c r="J1037">
        <v>50</v>
      </c>
      <c r="K1037">
        <v>6229.21</v>
      </c>
      <c r="L1037">
        <v>32422.6</v>
      </c>
      <c r="M1037">
        <v>1.38</v>
      </c>
      <c r="N1037">
        <v>2.92</v>
      </c>
      <c r="O1037">
        <v>3.63</v>
      </c>
      <c r="P1037">
        <v>124.58</v>
      </c>
      <c r="Q1037">
        <v>5.2</v>
      </c>
      <c r="R1037">
        <v>420.49</v>
      </c>
    </row>
    <row r="1038" spans="1:18" x14ac:dyDescent="0.3">
      <c r="A1038" t="s">
        <v>2104</v>
      </c>
      <c r="B1038" t="s">
        <v>2105</v>
      </c>
      <c r="C1038" t="s">
        <v>29</v>
      </c>
      <c r="D1038" t="s">
        <v>57</v>
      </c>
      <c r="E1038" t="s">
        <v>41</v>
      </c>
      <c r="F1038" s="1">
        <v>45444</v>
      </c>
      <c r="G1038" s="1">
        <v>45461</v>
      </c>
      <c r="H1038">
        <v>485446</v>
      </c>
      <c r="I1038">
        <v>8058</v>
      </c>
      <c r="J1038">
        <v>521</v>
      </c>
      <c r="K1038">
        <v>9428.01</v>
      </c>
      <c r="L1038">
        <v>59727.82</v>
      </c>
      <c r="M1038">
        <v>1.66</v>
      </c>
      <c r="N1038">
        <v>6.47</v>
      </c>
      <c r="O1038">
        <v>1.17</v>
      </c>
      <c r="P1038">
        <v>18.100000000000001</v>
      </c>
      <c r="Q1038">
        <v>6.34</v>
      </c>
      <c r="R1038">
        <v>533.51</v>
      </c>
    </row>
    <row r="1039" spans="1:18" x14ac:dyDescent="0.3">
      <c r="A1039" t="s">
        <v>2106</v>
      </c>
      <c r="B1039" t="s">
        <v>2107</v>
      </c>
      <c r="C1039" t="s">
        <v>29</v>
      </c>
      <c r="D1039" t="s">
        <v>57</v>
      </c>
      <c r="E1039" t="s">
        <v>38</v>
      </c>
      <c r="F1039" s="1">
        <v>45473</v>
      </c>
      <c r="G1039" s="1">
        <v>45516</v>
      </c>
      <c r="H1039">
        <v>302510</v>
      </c>
      <c r="I1039">
        <v>8863</v>
      </c>
      <c r="J1039">
        <v>482</v>
      </c>
      <c r="K1039">
        <v>5410.34</v>
      </c>
      <c r="L1039">
        <v>27782.67</v>
      </c>
      <c r="M1039">
        <v>2.93</v>
      </c>
      <c r="N1039">
        <v>5.44</v>
      </c>
      <c r="O1039">
        <v>0.61</v>
      </c>
      <c r="P1039">
        <v>11.22</v>
      </c>
      <c r="Q1039">
        <v>5.14</v>
      </c>
      <c r="R1039">
        <v>413.51</v>
      </c>
    </row>
    <row r="1040" spans="1:18" x14ac:dyDescent="0.3">
      <c r="A1040" t="s">
        <v>2108</v>
      </c>
      <c r="B1040" t="s">
        <v>2109</v>
      </c>
      <c r="C1040" t="s">
        <v>25</v>
      </c>
      <c r="D1040" t="s">
        <v>21</v>
      </c>
      <c r="E1040" t="s">
        <v>31</v>
      </c>
      <c r="F1040" s="1">
        <v>45366</v>
      </c>
      <c r="G1040" s="1">
        <v>45393</v>
      </c>
      <c r="H1040">
        <v>460555</v>
      </c>
      <c r="I1040">
        <v>10684</v>
      </c>
      <c r="J1040">
        <v>682</v>
      </c>
      <c r="K1040">
        <v>15563.58</v>
      </c>
      <c r="L1040">
        <v>71642.3</v>
      </c>
      <c r="M1040">
        <v>2.3199999999999998</v>
      </c>
      <c r="N1040">
        <v>6.39</v>
      </c>
      <c r="O1040">
        <v>1.46</v>
      </c>
      <c r="P1040">
        <v>22.82</v>
      </c>
      <c r="Q1040">
        <v>4.5999999999999996</v>
      </c>
      <c r="R1040">
        <v>360.32</v>
      </c>
    </row>
    <row r="1041" spans="1:18" x14ac:dyDescent="0.3">
      <c r="A1041" t="s">
        <v>2110</v>
      </c>
      <c r="B1041" t="s">
        <v>2111</v>
      </c>
      <c r="C1041" t="s">
        <v>44</v>
      </c>
      <c r="D1041" t="s">
        <v>21</v>
      </c>
      <c r="E1041" t="s">
        <v>41</v>
      </c>
      <c r="F1041" s="1">
        <v>45500</v>
      </c>
      <c r="G1041" s="1">
        <v>45523</v>
      </c>
      <c r="H1041">
        <v>290469</v>
      </c>
      <c r="I1041">
        <v>10544</v>
      </c>
      <c r="J1041">
        <v>342</v>
      </c>
      <c r="K1041">
        <v>6455.1</v>
      </c>
      <c r="L1041">
        <v>35916.660000000003</v>
      </c>
      <c r="M1041">
        <v>3.63</v>
      </c>
      <c r="N1041">
        <v>3.25</v>
      </c>
      <c r="O1041">
        <v>0.61</v>
      </c>
      <c r="P1041">
        <v>18.87</v>
      </c>
      <c r="Q1041">
        <v>5.56</v>
      </c>
      <c r="R1041">
        <v>456.41</v>
      </c>
    </row>
    <row r="1042" spans="1:18" x14ac:dyDescent="0.3">
      <c r="A1042" t="s">
        <v>2112</v>
      </c>
      <c r="B1042" t="s">
        <v>2113</v>
      </c>
      <c r="C1042" t="s">
        <v>37</v>
      </c>
      <c r="D1042" t="s">
        <v>21</v>
      </c>
      <c r="E1042" t="s">
        <v>38</v>
      </c>
      <c r="F1042" s="1">
        <v>45310</v>
      </c>
      <c r="G1042" s="1">
        <v>45330</v>
      </c>
      <c r="H1042">
        <v>486475</v>
      </c>
      <c r="I1042">
        <v>44463</v>
      </c>
      <c r="J1042">
        <v>6375</v>
      </c>
      <c r="K1042">
        <v>3375.12</v>
      </c>
      <c r="L1042">
        <v>15534.65</v>
      </c>
      <c r="M1042">
        <v>9.14</v>
      </c>
      <c r="N1042">
        <v>14.34</v>
      </c>
      <c r="O1042">
        <v>0.08</v>
      </c>
      <c r="P1042">
        <v>0.53</v>
      </c>
      <c r="Q1042">
        <v>4.5999999999999996</v>
      </c>
      <c r="R1042">
        <v>360.27</v>
      </c>
    </row>
    <row r="1043" spans="1:18" x14ac:dyDescent="0.3">
      <c r="A1043" t="s">
        <v>2114</v>
      </c>
      <c r="B1043" t="s">
        <v>2115</v>
      </c>
      <c r="C1043" t="s">
        <v>29</v>
      </c>
      <c r="D1043" t="s">
        <v>30</v>
      </c>
      <c r="E1043" t="s">
        <v>31</v>
      </c>
      <c r="F1043" s="1">
        <v>45587</v>
      </c>
      <c r="G1043" s="1">
        <v>45594</v>
      </c>
      <c r="H1043">
        <v>456000</v>
      </c>
      <c r="I1043">
        <v>9120</v>
      </c>
      <c r="J1043">
        <v>354</v>
      </c>
      <c r="K1043">
        <v>8221.2800000000007</v>
      </c>
      <c r="L1043">
        <v>51676.47</v>
      </c>
      <c r="M1043">
        <v>2</v>
      </c>
      <c r="N1043">
        <v>3.89</v>
      </c>
      <c r="O1043">
        <v>0.9</v>
      </c>
      <c r="P1043">
        <v>23.22</v>
      </c>
      <c r="Q1043">
        <v>6.29</v>
      </c>
      <c r="R1043">
        <v>528.57000000000005</v>
      </c>
    </row>
    <row r="1044" spans="1:18" x14ac:dyDescent="0.3">
      <c r="A1044" t="s">
        <v>2116</v>
      </c>
      <c r="B1044" t="s">
        <v>2117</v>
      </c>
      <c r="C1044" t="s">
        <v>44</v>
      </c>
      <c r="D1044" t="s">
        <v>57</v>
      </c>
      <c r="E1044" t="s">
        <v>26</v>
      </c>
      <c r="F1044" s="1">
        <v>45525</v>
      </c>
      <c r="G1044" s="1">
        <v>45558</v>
      </c>
      <c r="H1044">
        <v>208305</v>
      </c>
      <c r="I1044">
        <v>7353</v>
      </c>
      <c r="J1044">
        <v>239</v>
      </c>
      <c r="K1044">
        <v>13346.98</v>
      </c>
      <c r="L1044">
        <v>68695.929999999993</v>
      </c>
      <c r="M1044">
        <v>3.53</v>
      </c>
      <c r="N1044">
        <v>3.26</v>
      </c>
      <c r="O1044">
        <v>1.82</v>
      </c>
      <c r="P1044">
        <v>55.85</v>
      </c>
      <c r="Q1044">
        <v>5.15</v>
      </c>
      <c r="R1044">
        <v>414.69</v>
      </c>
    </row>
    <row r="1045" spans="1:18" x14ac:dyDescent="0.3">
      <c r="A1045" t="s">
        <v>2118</v>
      </c>
      <c r="B1045" t="s">
        <v>2119</v>
      </c>
      <c r="C1045" t="s">
        <v>25</v>
      </c>
      <c r="D1045" t="s">
        <v>57</v>
      </c>
      <c r="E1045" t="s">
        <v>22</v>
      </c>
      <c r="F1045" s="1">
        <v>45382</v>
      </c>
      <c r="G1045" s="1">
        <v>45418</v>
      </c>
      <c r="H1045">
        <v>484207</v>
      </c>
      <c r="I1045">
        <v>8328</v>
      </c>
      <c r="J1045">
        <v>721</v>
      </c>
      <c r="K1045">
        <v>16241.3</v>
      </c>
      <c r="L1045">
        <v>40769.07</v>
      </c>
      <c r="M1045">
        <v>1.72</v>
      </c>
      <c r="N1045">
        <v>8.66</v>
      </c>
      <c r="O1045">
        <v>1.95</v>
      </c>
      <c r="P1045">
        <v>22.53</v>
      </c>
      <c r="Q1045">
        <v>2.5099999999999998</v>
      </c>
      <c r="R1045">
        <v>151.02000000000001</v>
      </c>
    </row>
    <row r="1046" spans="1:18" x14ac:dyDescent="0.3">
      <c r="A1046" t="s">
        <v>2120</v>
      </c>
      <c r="B1046" t="s">
        <v>2121</v>
      </c>
      <c r="C1046" t="s">
        <v>25</v>
      </c>
      <c r="D1046" t="s">
        <v>57</v>
      </c>
      <c r="E1046" t="s">
        <v>41</v>
      </c>
      <c r="F1046" s="1">
        <v>45515</v>
      </c>
      <c r="G1046" s="1">
        <v>45540</v>
      </c>
      <c r="H1046">
        <v>339802</v>
      </c>
      <c r="I1046">
        <v>6150</v>
      </c>
      <c r="J1046">
        <v>541</v>
      </c>
      <c r="K1046">
        <v>10105.01</v>
      </c>
      <c r="L1046">
        <v>58638.49</v>
      </c>
      <c r="M1046">
        <v>1.81</v>
      </c>
      <c r="N1046">
        <v>8.8000000000000007</v>
      </c>
      <c r="O1046">
        <v>1.64</v>
      </c>
      <c r="P1046">
        <v>18.68</v>
      </c>
      <c r="Q1046">
        <v>5.8</v>
      </c>
      <c r="R1046">
        <v>480.29</v>
      </c>
    </row>
    <row r="1047" spans="1:18" x14ac:dyDescent="0.3">
      <c r="A1047" t="s">
        <v>2122</v>
      </c>
      <c r="B1047" t="s">
        <v>2123</v>
      </c>
      <c r="C1047" t="s">
        <v>37</v>
      </c>
      <c r="D1047" t="s">
        <v>21</v>
      </c>
      <c r="E1047" t="s">
        <v>26</v>
      </c>
      <c r="F1047" s="1">
        <v>45345</v>
      </c>
      <c r="G1047" s="1">
        <v>45383</v>
      </c>
      <c r="H1047">
        <v>472544</v>
      </c>
      <c r="I1047">
        <v>42623</v>
      </c>
      <c r="J1047">
        <v>3793</v>
      </c>
      <c r="K1047">
        <v>573.91999999999996</v>
      </c>
      <c r="L1047">
        <v>3556.14</v>
      </c>
      <c r="M1047">
        <v>9.02</v>
      </c>
      <c r="N1047">
        <v>8.9</v>
      </c>
      <c r="O1047">
        <v>0.01</v>
      </c>
      <c r="P1047">
        <v>0.15</v>
      </c>
      <c r="Q1047">
        <v>6.2</v>
      </c>
      <c r="R1047">
        <v>519.62</v>
      </c>
    </row>
    <row r="1048" spans="1:18" x14ac:dyDescent="0.3">
      <c r="A1048" t="s">
        <v>2124</v>
      </c>
      <c r="B1048" t="s">
        <v>2125</v>
      </c>
      <c r="C1048" t="s">
        <v>37</v>
      </c>
      <c r="D1048" t="s">
        <v>21</v>
      </c>
      <c r="E1048" t="s">
        <v>38</v>
      </c>
      <c r="F1048" s="1">
        <v>45406</v>
      </c>
      <c r="G1048" s="1">
        <v>45442</v>
      </c>
      <c r="H1048">
        <v>313906</v>
      </c>
      <c r="I1048">
        <v>23511</v>
      </c>
      <c r="J1048">
        <v>1958</v>
      </c>
      <c r="K1048">
        <v>1804.57</v>
      </c>
      <c r="L1048">
        <v>7024.98</v>
      </c>
      <c r="M1048">
        <v>7.49</v>
      </c>
      <c r="N1048">
        <v>8.33</v>
      </c>
      <c r="O1048">
        <v>0.08</v>
      </c>
      <c r="P1048">
        <v>0.92</v>
      </c>
      <c r="Q1048">
        <v>3.89</v>
      </c>
      <c r="R1048">
        <v>289.29000000000002</v>
      </c>
    </row>
    <row r="1049" spans="1:18" x14ac:dyDescent="0.3">
      <c r="A1049" t="s">
        <v>2126</v>
      </c>
      <c r="B1049" t="s">
        <v>2127</v>
      </c>
      <c r="C1049" t="s">
        <v>37</v>
      </c>
      <c r="D1049" t="s">
        <v>30</v>
      </c>
      <c r="E1049" t="s">
        <v>26</v>
      </c>
      <c r="F1049" s="1">
        <v>45529</v>
      </c>
      <c r="G1049" s="1">
        <v>45562</v>
      </c>
      <c r="H1049">
        <v>152529</v>
      </c>
      <c r="I1049">
        <v>13941</v>
      </c>
      <c r="J1049">
        <v>2441</v>
      </c>
      <c r="K1049">
        <v>2077.7600000000002</v>
      </c>
      <c r="L1049">
        <v>11577.03</v>
      </c>
      <c r="M1049">
        <v>9.14</v>
      </c>
      <c r="N1049">
        <v>17.510000000000002</v>
      </c>
      <c r="O1049">
        <v>0.15</v>
      </c>
      <c r="P1049">
        <v>0.85</v>
      </c>
      <c r="Q1049">
        <v>5.57</v>
      </c>
      <c r="R1049">
        <v>457.19</v>
      </c>
    </row>
    <row r="1050" spans="1:18" x14ac:dyDescent="0.3">
      <c r="A1050" t="s">
        <v>2128</v>
      </c>
      <c r="B1050" t="s">
        <v>2129</v>
      </c>
      <c r="C1050" t="s">
        <v>25</v>
      </c>
      <c r="D1050" t="s">
        <v>21</v>
      </c>
      <c r="E1050" t="s">
        <v>22</v>
      </c>
      <c r="F1050" s="1">
        <v>45504</v>
      </c>
      <c r="G1050" s="1">
        <v>45526</v>
      </c>
      <c r="H1050">
        <v>460096</v>
      </c>
      <c r="I1050">
        <v>5429</v>
      </c>
      <c r="J1050">
        <v>379</v>
      </c>
      <c r="K1050">
        <v>18073.71</v>
      </c>
      <c r="L1050">
        <v>57659.58</v>
      </c>
      <c r="M1050">
        <v>1.18</v>
      </c>
      <c r="N1050">
        <v>6.99</v>
      </c>
      <c r="O1050">
        <v>3.33</v>
      </c>
      <c r="P1050">
        <v>47.69</v>
      </c>
      <c r="Q1050">
        <v>3.19</v>
      </c>
      <c r="R1050">
        <v>219.02</v>
      </c>
    </row>
    <row r="1051" spans="1:18" x14ac:dyDescent="0.3">
      <c r="A1051" t="s">
        <v>2130</v>
      </c>
      <c r="B1051" t="s">
        <v>2131</v>
      </c>
      <c r="C1051" t="s">
        <v>20</v>
      </c>
      <c r="D1051" t="s">
        <v>30</v>
      </c>
      <c r="E1051" t="s">
        <v>26</v>
      </c>
      <c r="F1051" s="1">
        <v>45599</v>
      </c>
      <c r="G1051" s="1">
        <v>45626</v>
      </c>
      <c r="H1051">
        <v>58142</v>
      </c>
      <c r="I1051">
        <v>1511</v>
      </c>
      <c r="J1051">
        <v>132</v>
      </c>
      <c r="K1051">
        <v>21815.39</v>
      </c>
      <c r="L1051">
        <v>94577.02</v>
      </c>
      <c r="M1051">
        <v>2.6</v>
      </c>
      <c r="N1051">
        <v>8.74</v>
      </c>
      <c r="O1051">
        <v>14.44</v>
      </c>
      <c r="P1051">
        <v>165.27</v>
      </c>
      <c r="Q1051">
        <v>4.34</v>
      </c>
      <c r="R1051">
        <v>333.53</v>
      </c>
    </row>
    <row r="1052" spans="1:18" x14ac:dyDescent="0.3">
      <c r="A1052" t="s">
        <v>2132</v>
      </c>
      <c r="B1052" t="s">
        <v>2133</v>
      </c>
      <c r="C1052" t="s">
        <v>44</v>
      </c>
      <c r="D1052" t="s">
        <v>34</v>
      </c>
      <c r="E1052" t="s">
        <v>31</v>
      </c>
      <c r="F1052" s="1">
        <v>45318</v>
      </c>
      <c r="G1052" s="1">
        <v>45361</v>
      </c>
      <c r="H1052">
        <v>275454</v>
      </c>
      <c r="I1052">
        <v>5040</v>
      </c>
      <c r="J1052">
        <v>247</v>
      </c>
      <c r="K1052">
        <v>4908.26</v>
      </c>
      <c r="L1052">
        <v>24050.25</v>
      </c>
      <c r="M1052">
        <v>1.83</v>
      </c>
      <c r="N1052">
        <v>4.91</v>
      </c>
      <c r="O1052">
        <v>0.97</v>
      </c>
      <c r="P1052">
        <v>19.87</v>
      </c>
      <c r="Q1052">
        <v>4.9000000000000004</v>
      </c>
      <c r="R1052">
        <v>390</v>
      </c>
    </row>
    <row r="1053" spans="1:18" x14ac:dyDescent="0.3">
      <c r="A1053" t="s">
        <v>2134</v>
      </c>
      <c r="B1053" t="s">
        <v>2135</v>
      </c>
      <c r="C1053" t="s">
        <v>25</v>
      </c>
      <c r="D1053" t="s">
        <v>34</v>
      </c>
      <c r="E1053" t="s">
        <v>38</v>
      </c>
      <c r="F1053" s="1">
        <v>45342</v>
      </c>
      <c r="G1053" s="1">
        <v>45357</v>
      </c>
      <c r="H1053">
        <v>431740</v>
      </c>
      <c r="I1053">
        <v>4749</v>
      </c>
      <c r="J1053">
        <v>538</v>
      </c>
      <c r="K1053">
        <v>12276.43</v>
      </c>
      <c r="L1053">
        <v>48716.639999999999</v>
      </c>
      <c r="M1053">
        <v>1.1000000000000001</v>
      </c>
      <c r="N1053">
        <v>11.33</v>
      </c>
      <c r="O1053">
        <v>2.59</v>
      </c>
      <c r="P1053">
        <v>22.82</v>
      </c>
      <c r="Q1053">
        <v>3.97</v>
      </c>
      <c r="R1053">
        <v>296.83</v>
      </c>
    </row>
    <row r="1054" spans="1:18" x14ac:dyDescent="0.3">
      <c r="A1054" t="s">
        <v>2136</v>
      </c>
      <c r="B1054" t="s">
        <v>2137</v>
      </c>
      <c r="C1054" t="s">
        <v>37</v>
      </c>
      <c r="D1054" t="s">
        <v>21</v>
      </c>
      <c r="E1054" t="s">
        <v>31</v>
      </c>
      <c r="F1054" s="1">
        <v>45373</v>
      </c>
      <c r="G1054" s="1">
        <v>45400</v>
      </c>
      <c r="H1054">
        <v>461189</v>
      </c>
      <c r="I1054">
        <v>29285</v>
      </c>
      <c r="J1054">
        <v>4574</v>
      </c>
      <c r="K1054">
        <v>4624.99</v>
      </c>
      <c r="L1054">
        <v>26677.040000000001</v>
      </c>
      <c r="M1054">
        <v>6.35</v>
      </c>
      <c r="N1054">
        <v>15.62</v>
      </c>
      <c r="O1054">
        <v>0.16</v>
      </c>
      <c r="P1054">
        <v>1.01</v>
      </c>
      <c r="Q1054">
        <v>5.77</v>
      </c>
      <c r="R1054">
        <v>476.8</v>
      </c>
    </row>
    <row r="1055" spans="1:18" x14ac:dyDescent="0.3">
      <c r="A1055" t="s">
        <v>2138</v>
      </c>
      <c r="B1055" t="s">
        <v>2139</v>
      </c>
      <c r="C1055" t="s">
        <v>29</v>
      </c>
      <c r="D1055" t="s">
        <v>21</v>
      </c>
      <c r="E1055" t="s">
        <v>26</v>
      </c>
      <c r="F1055" s="1">
        <v>45570</v>
      </c>
      <c r="G1055" s="1">
        <v>45582</v>
      </c>
      <c r="H1055">
        <v>63442</v>
      </c>
      <c r="I1055">
        <v>1782</v>
      </c>
      <c r="J1055">
        <v>91</v>
      </c>
      <c r="K1055">
        <v>11899.32</v>
      </c>
      <c r="L1055">
        <v>25288.23</v>
      </c>
      <c r="M1055">
        <v>2.81</v>
      </c>
      <c r="N1055">
        <v>5.14</v>
      </c>
      <c r="O1055">
        <v>6.68</v>
      </c>
      <c r="P1055">
        <v>130.76</v>
      </c>
      <c r="Q1055">
        <v>2.13</v>
      </c>
      <c r="R1055">
        <v>112.52</v>
      </c>
    </row>
    <row r="1056" spans="1:18" x14ac:dyDescent="0.3">
      <c r="A1056" t="s">
        <v>2140</v>
      </c>
      <c r="B1056" t="s">
        <v>2141</v>
      </c>
      <c r="C1056" t="s">
        <v>37</v>
      </c>
      <c r="D1056" t="s">
        <v>30</v>
      </c>
      <c r="E1056" t="s">
        <v>26</v>
      </c>
      <c r="F1056" s="1">
        <v>45387</v>
      </c>
      <c r="G1056" s="1">
        <v>45409</v>
      </c>
      <c r="H1056">
        <v>439199</v>
      </c>
      <c r="I1056">
        <v>36936</v>
      </c>
      <c r="J1056">
        <v>6585</v>
      </c>
      <c r="K1056">
        <v>3355.08</v>
      </c>
      <c r="L1056">
        <v>18450.099999999999</v>
      </c>
      <c r="M1056">
        <v>8.41</v>
      </c>
      <c r="N1056">
        <v>17.829999999999998</v>
      </c>
      <c r="O1056">
        <v>0.09</v>
      </c>
      <c r="P1056">
        <v>0.51</v>
      </c>
      <c r="Q1056">
        <v>5.5</v>
      </c>
      <c r="R1056">
        <v>449.92</v>
      </c>
    </row>
    <row r="1057" spans="1:18" x14ac:dyDescent="0.3">
      <c r="A1057" t="s">
        <v>2142</v>
      </c>
      <c r="B1057" t="s">
        <v>2143</v>
      </c>
      <c r="C1057" t="s">
        <v>29</v>
      </c>
      <c r="D1057" t="s">
        <v>57</v>
      </c>
      <c r="E1057" t="s">
        <v>41</v>
      </c>
      <c r="F1057" s="1">
        <v>45425</v>
      </c>
      <c r="G1057" s="1">
        <v>45435</v>
      </c>
      <c r="H1057">
        <v>330712</v>
      </c>
      <c r="I1057">
        <v>13294</v>
      </c>
      <c r="J1057">
        <v>748</v>
      </c>
      <c r="K1057">
        <v>15106.46</v>
      </c>
      <c r="L1057">
        <v>55916.28</v>
      </c>
      <c r="M1057">
        <v>4.0199999999999996</v>
      </c>
      <c r="N1057">
        <v>5.63</v>
      </c>
      <c r="O1057">
        <v>1.1399999999999999</v>
      </c>
      <c r="P1057">
        <v>20.2</v>
      </c>
      <c r="Q1057">
        <v>3.7</v>
      </c>
      <c r="R1057">
        <v>270.14999999999998</v>
      </c>
    </row>
    <row r="1058" spans="1:18" x14ac:dyDescent="0.3">
      <c r="A1058" t="s">
        <v>2144</v>
      </c>
      <c r="B1058" t="s">
        <v>2145</v>
      </c>
      <c r="C1058" t="s">
        <v>44</v>
      </c>
      <c r="D1058" t="s">
        <v>21</v>
      </c>
      <c r="E1058" t="s">
        <v>41</v>
      </c>
      <c r="F1058" s="1">
        <v>45597</v>
      </c>
      <c r="G1058" s="1">
        <v>45611</v>
      </c>
      <c r="H1058">
        <v>378958</v>
      </c>
      <c r="I1058">
        <v>4774</v>
      </c>
      <c r="J1058">
        <v>236</v>
      </c>
      <c r="K1058">
        <v>13336.74</v>
      </c>
      <c r="L1058">
        <v>33331.07</v>
      </c>
      <c r="M1058">
        <v>1.26</v>
      </c>
      <c r="N1058">
        <v>4.95</v>
      </c>
      <c r="O1058">
        <v>2.79</v>
      </c>
      <c r="P1058">
        <v>56.51</v>
      </c>
      <c r="Q1058">
        <v>2.5</v>
      </c>
      <c r="R1058">
        <v>149.91999999999999</v>
      </c>
    </row>
    <row r="1059" spans="1:18" x14ac:dyDescent="0.3">
      <c r="A1059" t="s">
        <v>2146</v>
      </c>
      <c r="B1059" t="s">
        <v>2147</v>
      </c>
      <c r="C1059" t="s">
        <v>20</v>
      </c>
      <c r="D1059" t="s">
        <v>34</v>
      </c>
      <c r="E1059" t="s">
        <v>22</v>
      </c>
      <c r="F1059" s="1">
        <v>45398</v>
      </c>
      <c r="G1059" s="1">
        <v>45430</v>
      </c>
      <c r="H1059">
        <v>187360</v>
      </c>
      <c r="I1059">
        <v>11391</v>
      </c>
      <c r="J1059">
        <v>519</v>
      </c>
      <c r="K1059">
        <v>14884.9</v>
      </c>
      <c r="L1059">
        <v>53976.93</v>
      </c>
      <c r="M1059">
        <v>6.08</v>
      </c>
      <c r="N1059">
        <v>4.5599999999999996</v>
      </c>
      <c r="O1059">
        <v>1.31</v>
      </c>
      <c r="P1059">
        <v>28.68</v>
      </c>
      <c r="Q1059">
        <v>3.63</v>
      </c>
      <c r="R1059">
        <v>262.63</v>
      </c>
    </row>
    <row r="1060" spans="1:18" x14ac:dyDescent="0.3">
      <c r="A1060" t="s">
        <v>2148</v>
      </c>
      <c r="B1060" t="s">
        <v>2149</v>
      </c>
      <c r="C1060" t="s">
        <v>20</v>
      </c>
      <c r="D1060" t="s">
        <v>30</v>
      </c>
      <c r="E1060" t="s">
        <v>26</v>
      </c>
      <c r="F1060" s="1">
        <v>45484</v>
      </c>
      <c r="G1060" s="1">
        <v>45511</v>
      </c>
      <c r="H1060">
        <v>266921</v>
      </c>
      <c r="I1060">
        <v>7447</v>
      </c>
      <c r="J1060">
        <v>726</v>
      </c>
      <c r="K1060">
        <v>6526.25</v>
      </c>
      <c r="L1060">
        <v>33238.28</v>
      </c>
      <c r="M1060">
        <v>2.79</v>
      </c>
      <c r="N1060">
        <v>9.76</v>
      </c>
      <c r="O1060">
        <v>0.88</v>
      </c>
      <c r="P1060">
        <v>8.99</v>
      </c>
      <c r="Q1060">
        <v>5.09</v>
      </c>
      <c r="R1060">
        <v>409.3</v>
      </c>
    </row>
    <row r="1061" spans="1:18" x14ac:dyDescent="0.3">
      <c r="A1061" t="s">
        <v>2150</v>
      </c>
      <c r="B1061" t="s">
        <v>2151</v>
      </c>
      <c r="C1061" t="s">
        <v>25</v>
      </c>
      <c r="D1061" t="s">
        <v>34</v>
      </c>
      <c r="E1061" t="s">
        <v>41</v>
      </c>
      <c r="F1061" s="1">
        <v>45308</v>
      </c>
      <c r="G1061" s="1">
        <v>45322</v>
      </c>
      <c r="H1061">
        <v>206633</v>
      </c>
      <c r="I1061">
        <v>1694</v>
      </c>
      <c r="J1061">
        <v>105</v>
      </c>
      <c r="K1061">
        <v>13076.7</v>
      </c>
      <c r="L1061">
        <v>61852.1</v>
      </c>
      <c r="M1061">
        <v>0.82</v>
      </c>
      <c r="N1061">
        <v>6.25</v>
      </c>
      <c r="O1061">
        <v>7.72</v>
      </c>
      <c r="P1061">
        <v>124.54</v>
      </c>
      <c r="Q1061">
        <v>4.7300000000000004</v>
      </c>
      <c r="R1061">
        <v>372.99</v>
      </c>
    </row>
    <row r="1062" spans="1:18" x14ac:dyDescent="0.3">
      <c r="A1062" t="s">
        <v>2152</v>
      </c>
      <c r="B1062" t="s">
        <v>2153</v>
      </c>
      <c r="C1062" t="s">
        <v>44</v>
      </c>
      <c r="D1062" t="s">
        <v>57</v>
      </c>
      <c r="E1062" t="s">
        <v>38</v>
      </c>
      <c r="F1062" s="1">
        <v>45354</v>
      </c>
      <c r="G1062" s="1">
        <v>45373</v>
      </c>
      <c r="H1062">
        <v>371915</v>
      </c>
      <c r="I1062">
        <v>10264</v>
      </c>
      <c r="J1062">
        <v>156</v>
      </c>
      <c r="K1062">
        <v>9021.86</v>
      </c>
      <c r="L1062">
        <v>28376.05</v>
      </c>
      <c r="M1062">
        <v>2.76</v>
      </c>
      <c r="N1062">
        <v>1.52</v>
      </c>
      <c r="O1062">
        <v>0.88</v>
      </c>
      <c r="P1062">
        <v>57.83</v>
      </c>
      <c r="Q1062">
        <v>3.15</v>
      </c>
      <c r="R1062">
        <v>214.53</v>
      </c>
    </row>
    <row r="1063" spans="1:18" x14ac:dyDescent="0.3">
      <c r="A1063" t="s">
        <v>2154</v>
      </c>
      <c r="B1063" t="s">
        <v>2155</v>
      </c>
      <c r="C1063" t="s">
        <v>37</v>
      </c>
      <c r="D1063" t="s">
        <v>21</v>
      </c>
      <c r="E1063" t="s">
        <v>31</v>
      </c>
      <c r="F1063" s="1">
        <v>45403</v>
      </c>
      <c r="G1063" s="1">
        <v>45411</v>
      </c>
      <c r="H1063">
        <v>62078</v>
      </c>
      <c r="I1063">
        <v>4413</v>
      </c>
      <c r="J1063">
        <v>688</v>
      </c>
      <c r="K1063">
        <v>1473.38</v>
      </c>
      <c r="L1063">
        <v>5366.06</v>
      </c>
      <c r="M1063">
        <v>7.11</v>
      </c>
      <c r="N1063">
        <v>15.61</v>
      </c>
      <c r="O1063">
        <v>0.33</v>
      </c>
      <c r="P1063">
        <v>2.14</v>
      </c>
      <c r="Q1063">
        <v>3.64</v>
      </c>
      <c r="R1063">
        <v>264.2</v>
      </c>
    </row>
    <row r="1064" spans="1:18" x14ac:dyDescent="0.3">
      <c r="A1064" t="s">
        <v>2156</v>
      </c>
      <c r="B1064" t="s">
        <v>2157</v>
      </c>
      <c r="C1064" t="s">
        <v>44</v>
      </c>
      <c r="D1064" t="s">
        <v>34</v>
      </c>
      <c r="E1064" t="s">
        <v>41</v>
      </c>
      <c r="F1064" s="1">
        <v>45339</v>
      </c>
      <c r="G1064" s="1">
        <v>45368</v>
      </c>
      <c r="H1064">
        <v>93748</v>
      </c>
      <c r="I1064">
        <v>2896</v>
      </c>
      <c r="J1064">
        <v>138</v>
      </c>
      <c r="K1064">
        <v>5844.88</v>
      </c>
      <c r="L1064">
        <v>24356.12</v>
      </c>
      <c r="M1064">
        <v>3.09</v>
      </c>
      <c r="N1064">
        <v>4.79</v>
      </c>
      <c r="O1064">
        <v>2.02</v>
      </c>
      <c r="P1064">
        <v>42.35</v>
      </c>
      <c r="Q1064">
        <v>4.17</v>
      </c>
      <c r="R1064">
        <v>316.70999999999998</v>
      </c>
    </row>
    <row r="1065" spans="1:18" x14ac:dyDescent="0.3">
      <c r="A1065" t="s">
        <v>2158</v>
      </c>
      <c r="B1065" t="s">
        <v>2159</v>
      </c>
      <c r="C1065" t="s">
        <v>37</v>
      </c>
      <c r="D1065" t="s">
        <v>57</v>
      </c>
      <c r="E1065" t="s">
        <v>38</v>
      </c>
      <c r="F1065" s="1">
        <v>45420</v>
      </c>
      <c r="G1065" s="1">
        <v>45438</v>
      </c>
      <c r="H1065">
        <v>440696</v>
      </c>
      <c r="I1065">
        <v>39001</v>
      </c>
      <c r="J1065">
        <v>4820</v>
      </c>
      <c r="K1065">
        <v>4758.5600000000004</v>
      </c>
      <c r="L1065">
        <v>29267.84</v>
      </c>
      <c r="M1065">
        <v>8.85</v>
      </c>
      <c r="N1065">
        <v>12.36</v>
      </c>
      <c r="O1065">
        <v>0.12</v>
      </c>
      <c r="P1065">
        <v>0.99</v>
      </c>
      <c r="Q1065">
        <v>6.15</v>
      </c>
      <c r="R1065">
        <v>515.05999999999995</v>
      </c>
    </row>
    <row r="1066" spans="1:18" x14ac:dyDescent="0.3">
      <c r="A1066" t="s">
        <v>2160</v>
      </c>
      <c r="B1066" t="s">
        <v>2161</v>
      </c>
      <c r="C1066" t="s">
        <v>29</v>
      </c>
      <c r="D1066" t="s">
        <v>57</v>
      </c>
      <c r="E1066" t="s">
        <v>38</v>
      </c>
      <c r="F1066" s="1">
        <v>45541</v>
      </c>
      <c r="G1066" s="1">
        <v>45575</v>
      </c>
      <c r="H1066">
        <v>103946</v>
      </c>
      <c r="I1066">
        <v>3378</v>
      </c>
      <c r="J1066">
        <v>196</v>
      </c>
      <c r="K1066">
        <v>7673.78</v>
      </c>
      <c r="L1066">
        <v>42769.41</v>
      </c>
      <c r="M1066">
        <v>3.25</v>
      </c>
      <c r="N1066">
        <v>5.83</v>
      </c>
      <c r="O1066">
        <v>2.27</v>
      </c>
      <c r="P1066">
        <v>39.15</v>
      </c>
      <c r="Q1066">
        <v>5.57</v>
      </c>
      <c r="R1066">
        <v>457.34</v>
      </c>
    </row>
    <row r="1067" spans="1:18" x14ac:dyDescent="0.3">
      <c r="A1067" t="s">
        <v>2162</v>
      </c>
      <c r="B1067" t="s">
        <v>2163</v>
      </c>
      <c r="C1067" t="s">
        <v>25</v>
      </c>
      <c r="D1067" t="s">
        <v>30</v>
      </c>
      <c r="E1067" t="s">
        <v>31</v>
      </c>
      <c r="F1067" s="1">
        <v>45394</v>
      </c>
      <c r="G1067" s="1">
        <v>45437</v>
      </c>
      <c r="H1067">
        <v>441684</v>
      </c>
      <c r="I1067">
        <v>5565</v>
      </c>
      <c r="J1067">
        <v>402</v>
      </c>
      <c r="K1067">
        <v>5720.95</v>
      </c>
      <c r="L1067">
        <v>21303.14</v>
      </c>
      <c r="M1067">
        <v>1.26</v>
      </c>
      <c r="N1067">
        <v>7.23</v>
      </c>
      <c r="O1067">
        <v>1.03</v>
      </c>
      <c r="P1067">
        <v>14.23</v>
      </c>
      <c r="Q1067">
        <v>3.72</v>
      </c>
      <c r="R1067">
        <v>272.37</v>
      </c>
    </row>
    <row r="1068" spans="1:18" x14ac:dyDescent="0.3">
      <c r="A1068" t="s">
        <v>2164</v>
      </c>
      <c r="B1068" t="s">
        <v>2165</v>
      </c>
      <c r="C1068" t="s">
        <v>44</v>
      </c>
      <c r="D1068" t="s">
        <v>57</v>
      </c>
      <c r="E1068" t="s">
        <v>26</v>
      </c>
      <c r="F1068" s="1">
        <v>45442</v>
      </c>
      <c r="G1068" s="1">
        <v>45487</v>
      </c>
      <c r="H1068">
        <v>285616</v>
      </c>
      <c r="I1068">
        <v>4655</v>
      </c>
      <c r="J1068">
        <v>75</v>
      </c>
      <c r="K1068">
        <v>8891.9599999999991</v>
      </c>
      <c r="L1068">
        <v>41266.800000000003</v>
      </c>
      <c r="M1068">
        <v>1.63</v>
      </c>
      <c r="N1068">
        <v>1.62</v>
      </c>
      <c r="O1068">
        <v>1.91</v>
      </c>
      <c r="P1068">
        <v>118.56</v>
      </c>
      <c r="Q1068">
        <v>4.6399999999999997</v>
      </c>
      <c r="R1068">
        <v>364.09</v>
      </c>
    </row>
    <row r="1069" spans="1:18" x14ac:dyDescent="0.3">
      <c r="A1069" t="s">
        <v>2166</v>
      </c>
      <c r="B1069" t="s">
        <v>2167</v>
      </c>
      <c r="C1069" t="s">
        <v>37</v>
      </c>
      <c r="D1069" t="s">
        <v>57</v>
      </c>
      <c r="E1069" t="s">
        <v>38</v>
      </c>
      <c r="F1069" s="1">
        <v>45417</v>
      </c>
      <c r="G1069" s="1">
        <v>45428</v>
      </c>
      <c r="H1069">
        <v>65697</v>
      </c>
      <c r="I1069">
        <v>3081</v>
      </c>
      <c r="J1069">
        <v>495</v>
      </c>
      <c r="K1069">
        <v>2432.2399999999998</v>
      </c>
      <c r="L1069">
        <v>6899.33</v>
      </c>
      <c r="M1069">
        <v>4.6900000000000004</v>
      </c>
      <c r="N1069">
        <v>16.09</v>
      </c>
      <c r="O1069">
        <v>0.79</v>
      </c>
      <c r="P1069">
        <v>4.91</v>
      </c>
      <c r="Q1069">
        <v>2.84</v>
      </c>
      <c r="R1069">
        <v>183.66</v>
      </c>
    </row>
    <row r="1070" spans="1:18" x14ac:dyDescent="0.3">
      <c r="A1070" t="s">
        <v>2168</v>
      </c>
      <c r="B1070" t="s">
        <v>2169</v>
      </c>
      <c r="C1070" t="s">
        <v>29</v>
      </c>
      <c r="D1070" t="s">
        <v>57</v>
      </c>
      <c r="E1070" t="s">
        <v>22</v>
      </c>
      <c r="F1070" s="1">
        <v>45460</v>
      </c>
      <c r="G1070" s="1">
        <v>45480</v>
      </c>
      <c r="H1070">
        <v>126042</v>
      </c>
      <c r="I1070">
        <v>4840</v>
      </c>
      <c r="J1070">
        <v>126</v>
      </c>
      <c r="K1070">
        <v>7778.84</v>
      </c>
      <c r="L1070">
        <v>15939.27</v>
      </c>
      <c r="M1070">
        <v>3.84</v>
      </c>
      <c r="N1070">
        <v>2.61</v>
      </c>
      <c r="O1070">
        <v>1.61</v>
      </c>
      <c r="P1070">
        <v>61.74</v>
      </c>
      <c r="Q1070">
        <v>2.0499999999999998</v>
      </c>
      <c r="R1070">
        <v>104.91</v>
      </c>
    </row>
    <row r="1071" spans="1:18" x14ac:dyDescent="0.3">
      <c r="A1071" t="s">
        <v>2170</v>
      </c>
      <c r="B1071" t="s">
        <v>2171</v>
      </c>
      <c r="C1071" t="s">
        <v>25</v>
      </c>
      <c r="D1071" t="s">
        <v>57</v>
      </c>
      <c r="E1071" t="s">
        <v>41</v>
      </c>
      <c r="F1071" s="1">
        <v>45579</v>
      </c>
      <c r="G1071" s="1">
        <v>45603</v>
      </c>
      <c r="H1071">
        <v>344461</v>
      </c>
      <c r="I1071">
        <v>3134</v>
      </c>
      <c r="J1071">
        <v>219</v>
      </c>
      <c r="K1071">
        <v>7394.8</v>
      </c>
      <c r="L1071">
        <v>22026.04</v>
      </c>
      <c r="M1071">
        <v>0.91</v>
      </c>
      <c r="N1071">
        <v>6.99</v>
      </c>
      <c r="O1071">
        <v>2.36</v>
      </c>
      <c r="P1071">
        <v>33.770000000000003</v>
      </c>
      <c r="Q1071">
        <v>2.98</v>
      </c>
      <c r="R1071">
        <v>197.86</v>
      </c>
    </row>
    <row r="1072" spans="1:18" x14ac:dyDescent="0.3">
      <c r="A1072" t="s">
        <v>2172</v>
      </c>
      <c r="B1072" t="s">
        <v>2173</v>
      </c>
      <c r="C1072" t="s">
        <v>37</v>
      </c>
      <c r="D1072" t="s">
        <v>21</v>
      </c>
      <c r="E1072" t="s">
        <v>31</v>
      </c>
      <c r="F1072" s="1">
        <v>45392</v>
      </c>
      <c r="G1072" s="1">
        <v>45402</v>
      </c>
      <c r="H1072">
        <v>388831</v>
      </c>
      <c r="I1072">
        <v>25390</v>
      </c>
      <c r="J1072">
        <v>3950</v>
      </c>
      <c r="K1072">
        <v>1930.02</v>
      </c>
      <c r="L1072">
        <v>6640.32</v>
      </c>
      <c r="M1072">
        <v>6.53</v>
      </c>
      <c r="N1072">
        <v>15.56</v>
      </c>
      <c r="O1072">
        <v>0.08</v>
      </c>
      <c r="P1072">
        <v>0.49</v>
      </c>
      <c r="Q1072">
        <v>3.44</v>
      </c>
      <c r="R1072">
        <v>244.05</v>
      </c>
    </row>
    <row r="1073" spans="1:18" x14ac:dyDescent="0.3">
      <c r="A1073" t="s">
        <v>2174</v>
      </c>
      <c r="B1073" t="s">
        <v>2175</v>
      </c>
      <c r="C1073" t="s">
        <v>25</v>
      </c>
      <c r="D1073" t="s">
        <v>30</v>
      </c>
      <c r="E1073" t="s">
        <v>26</v>
      </c>
      <c r="F1073" s="1">
        <v>45488</v>
      </c>
      <c r="G1073" s="1">
        <v>45510</v>
      </c>
      <c r="H1073">
        <v>193872</v>
      </c>
      <c r="I1073">
        <v>2946</v>
      </c>
      <c r="J1073">
        <v>172</v>
      </c>
      <c r="K1073">
        <v>6738.24</v>
      </c>
      <c r="L1073">
        <v>23388</v>
      </c>
      <c r="M1073">
        <v>1.52</v>
      </c>
      <c r="N1073">
        <v>5.87</v>
      </c>
      <c r="O1073">
        <v>2.29</v>
      </c>
      <c r="P1073">
        <v>39.18</v>
      </c>
      <c r="Q1073">
        <v>3.47</v>
      </c>
      <c r="R1073">
        <v>247.09</v>
      </c>
    </row>
    <row r="1074" spans="1:18" x14ac:dyDescent="0.3">
      <c r="A1074" t="s">
        <v>2176</v>
      </c>
      <c r="B1074" t="s">
        <v>2177</v>
      </c>
      <c r="C1074" t="s">
        <v>37</v>
      </c>
      <c r="D1074" t="s">
        <v>21</v>
      </c>
      <c r="E1074" t="s">
        <v>22</v>
      </c>
      <c r="F1074" s="1">
        <v>45437</v>
      </c>
      <c r="G1074" s="1">
        <v>45452</v>
      </c>
      <c r="H1074">
        <v>59351</v>
      </c>
      <c r="I1074">
        <v>4664</v>
      </c>
      <c r="J1074">
        <v>772</v>
      </c>
      <c r="K1074">
        <v>4945.8</v>
      </c>
      <c r="L1074">
        <v>30181.22</v>
      </c>
      <c r="M1074">
        <v>7.86</v>
      </c>
      <c r="N1074">
        <v>16.559999999999999</v>
      </c>
      <c r="O1074">
        <v>1.06</v>
      </c>
      <c r="P1074">
        <v>6.41</v>
      </c>
      <c r="Q1074">
        <v>6.1</v>
      </c>
      <c r="R1074">
        <v>510.24</v>
      </c>
    </row>
    <row r="1075" spans="1:18" x14ac:dyDescent="0.3">
      <c r="A1075" t="s">
        <v>2178</v>
      </c>
      <c r="B1075" t="s">
        <v>2179</v>
      </c>
      <c r="C1075" t="s">
        <v>25</v>
      </c>
      <c r="D1075" t="s">
        <v>21</v>
      </c>
      <c r="E1075" t="s">
        <v>31</v>
      </c>
      <c r="F1075" s="1">
        <v>45504</v>
      </c>
      <c r="G1075" s="1">
        <v>45530</v>
      </c>
      <c r="H1075">
        <v>326569</v>
      </c>
      <c r="I1075">
        <v>2841</v>
      </c>
      <c r="J1075">
        <v>270</v>
      </c>
      <c r="K1075">
        <v>5111.2700000000004</v>
      </c>
      <c r="L1075">
        <v>12410.36</v>
      </c>
      <c r="M1075">
        <v>0.87</v>
      </c>
      <c r="N1075">
        <v>9.51</v>
      </c>
      <c r="O1075">
        <v>1.8</v>
      </c>
      <c r="P1075">
        <v>18.93</v>
      </c>
      <c r="Q1075">
        <v>2.4300000000000002</v>
      </c>
      <c r="R1075">
        <v>142.80000000000001</v>
      </c>
    </row>
    <row r="1076" spans="1:18" x14ac:dyDescent="0.3">
      <c r="A1076" t="s">
        <v>2180</v>
      </c>
      <c r="B1076" t="s">
        <v>2181</v>
      </c>
      <c r="C1076" t="s">
        <v>44</v>
      </c>
      <c r="D1076" t="s">
        <v>57</v>
      </c>
      <c r="E1076" t="s">
        <v>22</v>
      </c>
      <c r="F1076" s="1">
        <v>45444</v>
      </c>
      <c r="G1076" s="1">
        <v>45480</v>
      </c>
      <c r="H1076">
        <v>259895</v>
      </c>
      <c r="I1076">
        <v>3664</v>
      </c>
      <c r="J1076">
        <v>154</v>
      </c>
      <c r="K1076">
        <v>8672.73</v>
      </c>
      <c r="L1076">
        <v>19182.580000000002</v>
      </c>
      <c r="M1076">
        <v>1.41</v>
      </c>
      <c r="N1076">
        <v>4.21</v>
      </c>
      <c r="O1076">
        <v>2.37</v>
      </c>
      <c r="P1076">
        <v>56.32</v>
      </c>
      <c r="Q1076">
        <v>2.21</v>
      </c>
      <c r="R1076">
        <v>121.18</v>
      </c>
    </row>
    <row r="1077" spans="1:18" x14ac:dyDescent="0.3">
      <c r="A1077" t="s">
        <v>2182</v>
      </c>
      <c r="B1077" t="s">
        <v>2183</v>
      </c>
      <c r="C1077" t="s">
        <v>25</v>
      </c>
      <c r="D1077" t="s">
        <v>21</v>
      </c>
      <c r="E1077" t="s">
        <v>22</v>
      </c>
      <c r="F1077" s="1">
        <v>45457</v>
      </c>
      <c r="G1077" s="1">
        <v>45491</v>
      </c>
      <c r="H1077">
        <v>373997</v>
      </c>
      <c r="I1077">
        <v>3627</v>
      </c>
      <c r="J1077">
        <v>238</v>
      </c>
      <c r="K1077">
        <v>17207.3</v>
      </c>
      <c r="L1077">
        <v>45157.2</v>
      </c>
      <c r="M1077">
        <v>0.97</v>
      </c>
      <c r="N1077">
        <v>6.57</v>
      </c>
      <c r="O1077">
        <v>4.74</v>
      </c>
      <c r="P1077">
        <v>72.3</v>
      </c>
      <c r="Q1077">
        <v>2.62</v>
      </c>
      <c r="R1077">
        <v>162.43</v>
      </c>
    </row>
    <row r="1078" spans="1:18" x14ac:dyDescent="0.3">
      <c r="A1078" t="s">
        <v>2184</v>
      </c>
      <c r="B1078" t="s">
        <v>2185</v>
      </c>
      <c r="C1078" t="s">
        <v>29</v>
      </c>
      <c r="D1078" t="s">
        <v>34</v>
      </c>
      <c r="E1078" t="s">
        <v>26</v>
      </c>
      <c r="F1078" s="1">
        <v>45294</v>
      </c>
      <c r="G1078" s="1">
        <v>45304</v>
      </c>
      <c r="H1078">
        <v>150222</v>
      </c>
      <c r="I1078">
        <v>5513</v>
      </c>
      <c r="J1078">
        <v>334</v>
      </c>
      <c r="K1078">
        <v>15242.21</v>
      </c>
      <c r="L1078">
        <v>67355.520000000004</v>
      </c>
      <c r="M1078">
        <v>3.67</v>
      </c>
      <c r="N1078">
        <v>6.06</v>
      </c>
      <c r="O1078">
        <v>2.76</v>
      </c>
      <c r="P1078">
        <v>45.64</v>
      </c>
      <c r="Q1078">
        <v>4.42</v>
      </c>
      <c r="R1078">
        <v>341.9</v>
      </c>
    </row>
    <row r="1079" spans="1:18" x14ac:dyDescent="0.3">
      <c r="A1079" t="s">
        <v>2186</v>
      </c>
      <c r="B1079" t="s">
        <v>2187</v>
      </c>
      <c r="C1079" t="s">
        <v>44</v>
      </c>
      <c r="D1079" t="s">
        <v>21</v>
      </c>
      <c r="E1079" t="s">
        <v>26</v>
      </c>
      <c r="F1079" s="1">
        <v>45486</v>
      </c>
      <c r="G1079" s="1">
        <v>45510</v>
      </c>
      <c r="H1079">
        <v>75167</v>
      </c>
      <c r="I1079">
        <v>2751</v>
      </c>
      <c r="J1079">
        <v>48</v>
      </c>
      <c r="K1079">
        <v>6616.61</v>
      </c>
      <c r="L1079">
        <v>31477.71</v>
      </c>
      <c r="M1079">
        <v>3.66</v>
      </c>
      <c r="N1079">
        <v>1.76</v>
      </c>
      <c r="O1079">
        <v>2.41</v>
      </c>
      <c r="P1079">
        <v>137.85</v>
      </c>
      <c r="Q1079">
        <v>4.76</v>
      </c>
      <c r="R1079">
        <v>375.74</v>
      </c>
    </row>
    <row r="1080" spans="1:18" x14ac:dyDescent="0.3">
      <c r="A1080" t="s">
        <v>2188</v>
      </c>
      <c r="B1080" t="s">
        <v>2189</v>
      </c>
      <c r="C1080" t="s">
        <v>29</v>
      </c>
      <c r="D1080" t="s">
        <v>34</v>
      </c>
      <c r="E1080" t="s">
        <v>31</v>
      </c>
      <c r="F1080" s="1">
        <v>45503</v>
      </c>
      <c r="G1080" s="1">
        <v>45538</v>
      </c>
      <c r="H1080">
        <v>291536</v>
      </c>
      <c r="I1080">
        <v>5422</v>
      </c>
      <c r="J1080">
        <v>195</v>
      </c>
      <c r="K1080">
        <v>5220.0200000000004</v>
      </c>
      <c r="L1080">
        <v>24161.31</v>
      </c>
      <c r="M1080">
        <v>1.86</v>
      </c>
      <c r="N1080">
        <v>3.6</v>
      </c>
      <c r="O1080">
        <v>0.96</v>
      </c>
      <c r="P1080">
        <v>26.77</v>
      </c>
      <c r="Q1080">
        <v>4.63</v>
      </c>
      <c r="R1080">
        <v>362.86</v>
      </c>
    </row>
    <row r="1081" spans="1:18" x14ac:dyDescent="0.3">
      <c r="A1081" t="s">
        <v>2190</v>
      </c>
      <c r="B1081" t="s">
        <v>2191</v>
      </c>
      <c r="C1081" t="s">
        <v>20</v>
      </c>
      <c r="D1081" t="s">
        <v>34</v>
      </c>
      <c r="E1081" t="s">
        <v>31</v>
      </c>
      <c r="F1081" s="1">
        <v>45407</v>
      </c>
      <c r="G1081" s="1">
        <v>45419</v>
      </c>
      <c r="H1081">
        <v>300571</v>
      </c>
      <c r="I1081">
        <v>15479</v>
      </c>
      <c r="J1081">
        <v>1526</v>
      </c>
      <c r="K1081">
        <v>11438.23</v>
      </c>
      <c r="L1081">
        <v>60495.55</v>
      </c>
      <c r="M1081">
        <v>5.15</v>
      </c>
      <c r="N1081">
        <v>9.86</v>
      </c>
      <c r="O1081">
        <v>0.74</v>
      </c>
      <c r="P1081">
        <v>7.5</v>
      </c>
      <c r="Q1081">
        <v>5.29</v>
      </c>
      <c r="R1081">
        <v>428.89</v>
      </c>
    </row>
    <row r="1082" spans="1:18" x14ac:dyDescent="0.3">
      <c r="A1082" t="s">
        <v>2192</v>
      </c>
      <c r="B1082" t="s">
        <v>2193</v>
      </c>
      <c r="C1082" t="s">
        <v>44</v>
      </c>
      <c r="D1082" t="s">
        <v>57</v>
      </c>
      <c r="E1082" t="s">
        <v>26</v>
      </c>
      <c r="F1082" s="1">
        <v>45397</v>
      </c>
      <c r="G1082" s="1">
        <v>45408</v>
      </c>
      <c r="H1082">
        <v>235078</v>
      </c>
      <c r="I1082">
        <v>6229</v>
      </c>
      <c r="J1082">
        <v>284</v>
      </c>
      <c r="K1082">
        <v>10743.51</v>
      </c>
      <c r="L1082">
        <v>57034.15</v>
      </c>
      <c r="M1082">
        <v>2.65</v>
      </c>
      <c r="N1082">
        <v>4.5599999999999996</v>
      </c>
      <c r="O1082">
        <v>1.72</v>
      </c>
      <c r="P1082">
        <v>37.83</v>
      </c>
      <c r="Q1082">
        <v>5.31</v>
      </c>
      <c r="R1082">
        <v>430.87</v>
      </c>
    </row>
    <row r="1083" spans="1:18" x14ac:dyDescent="0.3">
      <c r="A1083" t="s">
        <v>2194</v>
      </c>
      <c r="B1083" t="s">
        <v>2195</v>
      </c>
      <c r="C1083" t="s">
        <v>20</v>
      </c>
      <c r="D1083" t="s">
        <v>30</v>
      </c>
      <c r="E1083" t="s">
        <v>26</v>
      </c>
      <c r="F1083" s="1">
        <v>45345</v>
      </c>
      <c r="G1083" s="1">
        <v>45373</v>
      </c>
      <c r="H1083">
        <v>161398</v>
      </c>
      <c r="I1083">
        <v>4115</v>
      </c>
      <c r="J1083">
        <v>218</v>
      </c>
      <c r="K1083">
        <v>21370.23</v>
      </c>
      <c r="L1083">
        <v>60811.73</v>
      </c>
      <c r="M1083">
        <v>2.5499999999999998</v>
      </c>
      <c r="N1083">
        <v>5.3</v>
      </c>
      <c r="O1083">
        <v>5.19</v>
      </c>
      <c r="P1083">
        <v>98.03</v>
      </c>
      <c r="Q1083">
        <v>2.85</v>
      </c>
      <c r="R1083">
        <v>184.56</v>
      </c>
    </row>
    <row r="1084" spans="1:18" x14ac:dyDescent="0.3">
      <c r="A1084" t="s">
        <v>2196</v>
      </c>
      <c r="B1084" t="s">
        <v>2197</v>
      </c>
      <c r="C1084" t="s">
        <v>29</v>
      </c>
      <c r="D1084" t="s">
        <v>57</v>
      </c>
      <c r="E1084" t="s">
        <v>22</v>
      </c>
      <c r="F1084" s="1">
        <v>45404</v>
      </c>
      <c r="G1084" s="1">
        <v>45434</v>
      </c>
      <c r="H1084">
        <v>421464</v>
      </c>
      <c r="I1084">
        <v>12053</v>
      </c>
      <c r="J1084">
        <v>333</v>
      </c>
      <c r="K1084">
        <v>10567.67</v>
      </c>
      <c r="L1084">
        <v>64606.12</v>
      </c>
      <c r="M1084">
        <v>2.86</v>
      </c>
      <c r="N1084">
        <v>2.77</v>
      </c>
      <c r="O1084">
        <v>0.88</v>
      </c>
      <c r="P1084">
        <v>31.73</v>
      </c>
      <c r="Q1084">
        <v>6.11</v>
      </c>
      <c r="R1084">
        <v>511.36</v>
      </c>
    </row>
    <row r="1085" spans="1:18" x14ac:dyDescent="0.3">
      <c r="A1085" t="s">
        <v>2198</v>
      </c>
      <c r="B1085" t="s">
        <v>2199</v>
      </c>
      <c r="C1085" t="s">
        <v>25</v>
      </c>
      <c r="D1085" t="s">
        <v>30</v>
      </c>
      <c r="E1085" t="s">
        <v>31</v>
      </c>
      <c r="F1085" s="1">
        <v>45449</v>
      </c>
      <c r="G1085" s="1">
        <v>45492</v>
      </c>
      <c r="H1085">
        <v>319203</v>
      </c>
      <c r="I1085">
        <v>3670</v>
      </c>
      <c r="J1085">
        <v>286</v>
      </c>
      <c r="K1085">
        <v>5098.2299999999996</v>
      </c>
      <c r="L1085">
        <v>19903.099999999999</v>
      </c>
      <c r="M1085">
        <v>1.1499999999999999</v>
      </c>
      <c r="N1085">
        <v>7.8</v>
      </c>
      <c r="O1085">
        <v>1.39</v>
      </c>
      <c r="P1085">
        <v>17.829999999999998</v>
      </c>
      <c r="Q1085">
        <v>3.9</v>
      </c>
      <c r="R1085">
        <v>290.39</v>
      </c>
    </row>
    <row r="1086" spans="1:18" x14ac:dyDescent="0.3">
      <c r="A1086" t="s">
        <v>2200</v>
      </c>
      <c r="B1086" t="s">
        <v>2201</v>
      </c>
      <c r="C1086" t="s">
        <v>20</v>
      </c>
      <c r="D1086" t="s">
        <v>34</v>
      </c>
      <c r="E1086" t="s">
        <v>38</v>
      </c>
      <c r="F1086" s="1">
        <v>45306</v>
      </c>
      <c r="G1086" s="1">
        <v>45343</v>
      </c>
      <c r="H1086">
        <v>106189</v>
      </c>
      <c r="I1086">
        <v>5819</v>
      </c>
      <c r="J1086">
        <v>316</v>
      </c>
      <c r="K1086">
        <v>22881.96</v>
      </c>
      <c r="L1086">
        <v>65022.15</v>
      </c>
      <c r="M1086">
        <v>5.48</v>
      </c>
      <c r="N1086">
        <v>5.44</v>
      </c>
      <c r="O1086">
        <v>3.93</v>
      </c>
      <c r="P1086">
        <v>72.41</v>
      </c>
      <c r="Q1086">
        <v>2.84</v>
      </c>
      <c r="R1086">
        <v>184.16</v>
      </c>
    </row>
    <row r="1087" spans="1:18" x14ac:dyDescent="0.3">
      <c r="A1087" t="s">
        <v>2202</v>
      </c>
      <c r="B1087" t="s">
        <v>2203</v>
      </c>
      <c r="C1087" t="s">
        <v>37</v>
      </c>
      <c r="D1087" t="s">
        <v>30</v>
      </c>
      <c r="E1087" t="s">
        <v>22</v>
      </c>
      <c r="F1087" s="1">
        <v>45495</v>
      </c>
      <c r="G1087" s="1">
        <v>45534</v>
      </c>
      <c r="H1087">
        <v>189239</v>
      </c>
      <c r="I1087">
        <v>8913</v>
      </c>
      <c r="J1087">
        <v>1203</v>
      </c>
      <c r="K1087">
        <v>2094.92</v>
      </c>
      <c r="L1087">
        <v>6189.02</v>
      </c>
      <c r="M1087">
        <v>4.71</v>
      </c>
      <c r="N1087">
        <v>13.5</v>
      </c>
      <c r="O1087">
        <v>0.24</v>
      </c>
      <c r="P1087">
        <v>1.74</v>
      </c>
      <c r="Q1087">
        <v>2.95</v>
      </c>
      <c r="R1087">
        <v>195.43</v>
      </c>
    </row>
    <row r="1088" spans="1:18" x14ac:dyDescent="0.3">
      <c r="A1088" t="s">
        <v>2204</v>
      </c>
      <c r="B1088" t="s">
        <v>2205</v>
      </c>
      <c r="C1088" t="s">
        <v>25</v>
      </c>
      <c r="D1088" t="s">
        <v>57</v>
      </c>
      <c r="E1088" t="s">
        <v>26</v>
      </c>
      <c r="F1088" s="1">
        <v>45508</v>
      </c>
      <c r="G1088" s="1">
        <v>45527</v>
      </c>
      <c r="H1088">
        <v>281389</v>
      </c>
      <c r="I1088">
        <v>3545</v>
      </c>
      <c r="J1088">
        <v>201</v>
      </c>
      <c r="K1088">
        <v>14377.95</v>
      </c>
      <c r="L1088">
        <v>76116.97</v>
      </c>
      <c r="M1088">
        <v>1.26</v>
      </c>
      <c r="N1088">
        <v>5.68</v>
      </c>
      <c r="O1088">
        <v>4.0599999999999996</v>
      </c>
      <c r="P1088">
        <v>71.53</v>
      </c>
      <c r="Q1088">
        <v>5.29</v>
      </c>
      <c r="R1088">
        <v>429.4</v>
      </c>
    </row>
    <row r="1089" spans="1:18" x14ac:dyDescent="0.3">
      <c r="A1089" t="s">
        <v>2206</v>
      </c>
      <c r="B1089" t="s">
        <v>2207</v>
      </c>
      <c r="C1089" t="s">
        <v>44</v>
      </c>
      <c r="D1089" t="s">
        <v>34</v>
      </c>
      <c r="E1089" t="s">
        <v>38</v>
      </c>
      <c r="F1089" s="1">
        <v>45317</v>
      </c>
      <c r="G1089" s="1">
        <v>45339</v>
      </c>
      <c r="H1089">
        <v>142612</v>
      </c>
      <c r="I1089">
        <v>3907</v>
      </c>
      <c r="J1089">
        <v>130</v>
      </c>
      <c r="K1089">
        <v>8670.2000000000007</v>
      </c>
      <c r="L1089">
        <v>34256.339999999997</v>
      </c>
      <c r="M1089">
        <v>2.74</v>
      </c>
      <c r="N1089">
        <v>3.35</v>
      </c>
      <c r="O1089">
        <v>2.2200000000000002</v>
      </c>
      <c r="P1089">
        <v>66.69</v>
      </c>
      <c r="Q1089">
        <v>3.95</v>
      </c>
      <c r="R1089">
        <v>295.10000000000002</v>
      </c>
    </row>
    <row r="1090" spans="1:18" x14ac:dyDescent="0.3">
      <c r="A1090" t="s">
        <v>2208</v>
      </c>
      <c r="B1090" t="s">
        <v>2209</v>
      </c>
      <c r="C1090" t="s">
        <v>20</v>
      </c>
      <c r="D1090" t="s">
        <v>34</v>
      </c>
      <c r="E1090" t="s">
        <v>26</v>
      </c>
      <c r="F1090" s="1">
        <v>45433</v>
      </c>
      <c r="G1090" s="1">
        <v>45454</v>
      </c>
      <c r="H1090">
        <v>77859</v>
      </c>
      <c r="I1090">
        <v>4733</v>
      </c>
      <c r="J1090">
        <v>352</v>
      </c>
      <c r="K1090">
        <v>9775.34</v>
      </c>
      <c r="L1090">
        <v>42958.64</v>
      </c>
      <c r="M1090">
        <v>6.08</v>
      </c>
      <c r="N1090">
        <v>7.45</v>
      </c>
      <c r="O1090">
        <v>2.0699999999999998</v>
      </c>
      <c r="P1090">
        <v>27.77</v>
      </c>
      <c r="Q1090">
        <v>4.3899999999999997</v>
      </c>
      <c r="R1090">
        <v>339.46</v>
      </c>
    </row>
    <row r="1091" spans="1:18" x14ac:dyDescent="0.3">
      <c r="A1091" t="s">
        <v>2210</v>
      </c>
      <c r="B1091" t="s">
        <v>2211</v>
      </c>
      <c r="C1091" t="s">
        <v>37</v>
      </c>
      <c r="D1091" t="s">
        <v>30</v>
      </c>
      <c r="E1091" t="s">
        <v>38</v>
      </c>
      <c r="F1091" s="1">
        <v>45397</v>
      </c>
      <c r="G1091" s="1">
        <v>45414</v>
      </c>
      <c r="H1091">
        <v>255985</v>
      </c>
      <c r="I1091">
        <v>11800</v>
      </c>
      <c r="J1091">
        <v>1810</v>
      </c>
      <c r="K1091">
        <v>4457.87</v>
      </c>
      <c r="L1091">
        <v>14297.29</v>
      </c>
      <c r="M1091">
        <v>4.6100000000000003</v>
      </c>
      <c r="N1091">
        <v>15.34</v>
      </c>
      <c r="O1091">
        <v>0.38</v>
      </c>
      <c r="P1091">
        <v>2.46</v>
      </c>
      <c r="Q1091">
        <v>3.21</v>
      </c>
      <c r="R1091">
        <v>220.72</v>
      </c>
    </row>
    <row r="1092" spans="1:18" x14ac:dyDescent="0.3">
      <c r="A1092" t="s">
        <v>2212</v>
      </c>
      <c r="B1092" t="s">
        <v>2213</v>
      </c>
      <c r="C1092" t="s">
        <v>29</v>
      </c>
      <c r="D1092" t="s">
        <v>57</v>
      </c>
      <c r="E1092" t="s">
        <v>22</v>
      </c>
      <c r="F1092" s="1">
        <v>45610</v>
      </c>
      <c r="G1092" s="1">
        <v>45647</v>
      </c>
      <c r="H1092">
        <v>420070</v>
      </c>
      <c r="I1092">
        <v>13820</v>
      </c>
      <c r="J1092">
        <v>783</v>
      </c>
      <c r="K1092">
        <v>4413.6400000000003</v>
      </c>
      <c r="L1092">
        <v>18822.32</v>
      </c>
      <c r="M1092">
        <v>3.29</v>
      </c>
      <c r="N1092">
        <v>5.67</v>
      </c>
      <c r="O1092">
        <v>0.32</v>
      </c>
      <c r="P1092">
        <v>5.64</v>
      </c>
      <c r="Q1092">
        <v>4.26</v>
      </c>
      <c r="R1092">
        <v>326.45999999999998</v>
      </c>
    </row>
    <row r="1093" spans="1:18" x14ac:dyDescent="0.3">
      <c r="A1093" t="s">
        <v>2214</v>
      </c>
      <c r="B1093" t="s">
        <v>2215</v>
      </c>
      <c r="C1093" t="s">
        <v>44</v>
      </c>
      <c r="D1093" t="s">
        <v>34</v>
      </c>
      <c r="E1093" t="s">
        <v>41</v>
      </c>
      <c r="F1093" s="1">
        <v>45298</v>
      </c>
      <c r="G1093" s="1">
        <v>45335</v>
      </c>
      <c r="H1093">
        <v>215209</v>
      </c>
      <c r="I1093">
        <v>6391</v>
      </c>
      <c r="J1093">
        <v>132</v>
      </c>
      <c r="K1093">
        <v>6651.94</v>
      </c>
      <c r="L1093">
        <v>26930.2</v>
      </c>
      <c r="M1093">
        <v>2.97</v>
      </c>
      <c r="N1093">
        <v>2.08</v>
      </c>
      <c r="O1093">
        <v>1.04</v>
      </c>
      <c r="P1093">
        <v>50.39</v>
      </c>
      <c r="Q1093">
        <v>4.05</v>
      </c>
      <c r="R1093">
        <v>304.85000000000002</v>
      </c>
    </row>
    <row r="1094" spans="1:18" x14ac:dyDescent="0.3">
      <c r="A1094" t="s">
        <v>2216</v>
      </c>
      <c r="B1094" t="s">
        <v>2217</v>
      </c>
      <c r="C1094" t="s">
        <v>25</v>
      </c>
      <c r="D1094" t="s">
        <v>57</v>
      </c>
      <c r="E1094" t="s">
        <v>26</v>
      </c>
      <c r="F1094" s="1">
        <v>45296</v>
      </c>
      <c r="G1094" s="1">
        <v>45341</v>
      </c>
      <c r="H1094">
        <v>143069</v>
      </c>
      <c r="I1094">
        <v>3519</v>
      </c>
      <c r="J1094">
        <v>393</v>
      </c>
      <c r="K1094">
        <v>6731.6</v>
      </c>
      <c r="L1094">
        <v>36493.17</v>
      </c>
      <c r="M1094">
        <v>2.46</v>
      </c>
      <c r="N1094">
        <v>11.17</v>
      </c>
      <c r="O1094">
        <v>1.91</v>
      </c>
      <c r="P1094">
        <v>17.13</v>
      </c>
      <c r="Q1094">
        <v>5.42</v>
      </c>
      <c r="R1094">
        <v>442.12</v>
      </c>
    </row>
    <row r="1095" spans="1:18" x14ac:dyDescent="0.3">
      <c r="A1095" t="s">
        <v>2218</v>
      </c>
      <c r="B1095" t="s">
        <v>2219</v>
      </c>
      <c r="C1095" t="s">
        <v>44</v>
      </c>
      <c r="D1095" t="s">
        <v>30</v>
      </c>
      <c r="E1095" t="s">
        <v>31</v>
      </c>
      <c r="F1095" s="1">
        <v>45582</v>
      </c>
      <c r="G1095" s="1">
        <v>45607</v>
      </c>
      <c r="H1095">
        <v>50527</v>
      </c>
      <c r="I1095">
        <v>1248</v>
      </c>
      <c r="J1095">
        <v>29</v>
      </c>
      <c r="K1095">
        <v>3867.32</v>
      </c>
      <c r="L1095">
        <v>21986.37</v>
      </c>
      <c r="M1095">
        <v>2.4700000000000002</v>
      </c>
      <c r="N1095">
        <v>2.37</v>
      </c>
      <c r="O1095">
        <v>3.1</v>
      </c>
      <c r="P1095">
        <v>133.36000000000001</v>
      </c>
      <c r="Q1095">
        <v>5.69</v>
      </c>
      <c r="R1095">
        <v>468.52</v>
      </c>
    </row>
    <row r="1096" spans="1:18" x14ac:dyDescent="0.3">
      <c r="A1096" t="s">
        <v>2220</v>
      </c>
      <c r="B1096" t="s">
        <v>2221</v>
      </c>
      <c r="C1096" t="s">
        <v>29</v>
      </c>
      <c r="D1096" t="s">
        <v>34</v>
      </c>
      <c r="E1096" t="s">
        <v>41</v>
      </c>
      <c r="F1096" s="1">
        <v>45471</v>
      </c>
      <c r="G1096" s="1">
        <v>45512</v>
      </c>
      <c r="H1096">
        <v>456457</v>
      </c>
      <c r="I1096">
        <v>8124</v>
      </c>
      <c r="J1096">
        <v>285</v>
      </c>
      <c r="K1096">
        <v>14042.8</v>
      </c>
      <c r="L1096">
        <v>56687.6</v>
      </c>
      <c r="M1096">
        <v>1.78</v>
      </c>
      <c r="N1096">
        <v>3.52</v>
      </c>
      <c r="O1096">
        <v>1.73</v>
      </c>
      <c r="P1096">
        <v>49.27</v>
      </c>
      <c r="Q1096">
        <v>4.04</v>
      </c>
      <c r="R1096">
        <v>303.68</v>
      </c>
    </row>
    <row r="1097" spans="1:18" x14ac:dyDescent="0.3">
      <c r="A1097" t="s">
        <v>2222</v>
      </c>
      <c r="B1097" t="s">
        <v>2223</v>
      </c>
      <c r="C1097" t="s">
        <v>44</v>
      </c>
      <c r="D1097" t="s">
        <v>30</v>
      </c>
      <c r="E1097" t="s">
        <v>22</v>
      </c>
      <c r="F1097" s="1">
        <v>45557</v>
      </c>
      <c r="G1097" s="1">
        <v>45602</v>
      </c>
      <c r="H1097">
        <v>240992</v>
      </c>
      <c r="I1097">
        <v>5759</v>
      </c>
      <c r="J1097">
        <v>253</v>
      </c>
      <c r="K1097">
        <v>6264.18</v>
      </c>
      <c r="L1097">
        <v>21936.06</v>
      </c>
      <c r="M1097">
        <v>2.39</v>
      </c>
      <c r="N1097">
        <v>4.4000000000000004</v>
      </c>
      <c r="O1097">
        <v>1.0900000000000001</v>
      </c>
      <c r="P1097">
        <v>24.76</v>
      </c>
      <c r="Q1097">
        <v>3.5</v>
      </c>
      <c r="R1097">
        <v>250.18</v>
      </c>
    </row>
    <row r="1098" spans="1:18" x14ac:dyDescent="0.3">
      <c r="A1098" t="s">
        <v>2224</v>
      </c>
      <c r="B1098" t="s">
        <v>2225</v>
      </c>
      <c r="C1098" t="s">
        <v>25</v>
      </c>
      <c r="D1098" t="s">
        <v>21</v>
      </c>
      <c r="E1098" t="s">
        <v>22</v>
      </c>
      <c r="F1098" s="1">
        <v>45404</v>
      </c>
      <c r="G1098" s="1">
        <v>45420</v>
      </c>
      <c r="H1098">
        <v>409548</v>
      </c>
      <c r="I1098">
        <v>6880</v>
      </c>
      <c r="J1098">
        <v>652</v>
      </c>
      <c r="K1098">
        <v>6366.41</v>
      </c>
      <c r="L1098">
        <v>24487.98</v>
      </c>
      <c r="M1098">
        <v>1.68</v>
      </c>
      <c r="N1098">
        <v>9.48</v>
      </c>
      <c r="O1098">
        <v>0.93</v>
      </c>
      <c r="P1098">
        <v>9.76</v>
      </c>
      <c r="Q1098">
        <v>3.85</v>
      </c>
      <c r="R1098">
        <v>284.64</v>
      </c>
    </row>
    <row r="1099" spans="1:18" x14ac:dyDescent="0.3">
      <c r="A1099" t="s">
        <v>2226</v>
      </c>
      <c r="B1099" t="s">
        <v>2227</v>
      </c>
      <c r="C1099" t="s">
        <v>44</v>
      </c>
      <c r="D1099" t="s">
        <v>30</v>
      </c>
      <c r="E1099" t="s">
        <v>26</v>
      </c>
      <c r="F1099" s="1">
        <v>45337</v>
      </c>
      <c r="G1099" s="1">
        <v>45356</v>
      </c>
      <c r="H1099">
        <v>178119</v>
      </c>
      <c r="I1099">
        <v>4809</v>
      </c>
      <c r="J1099">
        <v>189</v>
      </c>
      <c r="K1099">
        <v>7884.01</v>
      </c>
      <c r="L1099">
        <v>23087.41</v>
      </c>
      <c r="M1099">
        <v>2.7</v>
      </c>
      <c r="N1099">
        <v>3.94</v>
      </c>
      <c r="O1099">
        <v>1.64</v>
      </c>
      <c r="P1099">
        <v>41.71</v>
      </c>
      <c r="Q1099">
        <v>2.93</v>
      </c>
      <c r="R1099">
        <v>192.84</v>
      </c>
    </row>
    <row r="1100" spans="1:18" x14ac:dyDescent="0.3">
      <c r="A1100" t="s">
        <v>2228</v>
      </c>
      <c r="B1100" t="s">
        <v>2229</v>
      </c>
      <c r="C1100" t="s">
        <v>25</v>
      </c>
      <c r="D1100" t="s">
        <v>21</v>
      </c>
      <c r="E1100" t="s">
        <v>22</v>
      </c>
      <c r="F1100" s="1">
        <v>45561</v>
      </c>
      <c r="G1100" s="1">
        <v>45579</v>
      </c>
      <c r="H1100">
        <v>378671</v>
      </c>
      <c r="I1100">
        <v>7384</v>
      </c>
      <c r="J1100">
        <v>833</v>
      </c>
      <c r="K1100">
        <v>11188.31</v>
      </c>
      <c r="L1100">
        <v>70624.84</v>
      </c>
      <c r="M1100">
        <v>1.95</v>
      </c>
      <c r="N1100">
        <v>11.29</v>
      </c>
      <c r="O1100">
        <v>1.52</v>
      </c>
      <c r="P1100">
        <v>13.43</v>
      </c>
      <c r="Q1100">
        <v>6.31</v>
      </c>
      <c r="R1100">
        <v>531.24</v>
      </c>
    </row>
    <row r="1101" spans="1:18" x14ac:dyDescent="0.3">
      <c r="A1101" t="s">
        <v>2230</v>
      </c>
      <c r="B1101" t="s">
        <v>2231</v>
      </c>
      <c r="C1101" t="s">
        <v>44</v>
      </c>
      <c r="D1101" t="s">
        <v>57</v>
      </c>
      <c r="E1101" t="s">
        <v>22</v>
      </c>
      <c r="F1101" s="1">
        <v>45588</v>
      </c>
      <c r="G1101" s="1">
        <v>45628</v>
      </c>
      <c r="H1101">
        <v>255010</v>
      </c>
      <c r="I1101">
        <v>6961</v>
      </c>
      <c r="J1101">
        <v>334</v>
      </c>
      <c r="K1101">
        <v>5953.09</v>
      </c>
      <c r="L1101">
        <v>17011.41</v>
      </c>
      <c r="M1101">
        <v>2.73</v>
      </c>
      <c r="N1101">
        <v>4.8099999999999996</v>
      </c>
      <c r="O1101">
        <v>0.86</v>
      </c>
      <c r="P1101">
        <v>17.82</v>
      </c>
      <c r="Q1101">
        <v>2.86</v>
      </c>
      <c r="R1101">
        <v>185.76</v>
      </c>
    </row>
    <row r="1102" spans="1:18" x14ac:dyDescent="0.3">
      <c r="A1102" t="s">
        <v>2232</v>
      </c>
      <c r="B1102" t="s">
        <v>2233</v>
      </c>
      <c r="C1102" t="s">
        <v>44</v>
      </c>
      <c r="D1102" t="s">
        <v>21</v>
      </c>
      <c r="E1102" t="s">
        <v>38</v>
      </c>
      <c r="F1102" s="1">
        <v>45296</v>
      </c>
      <c r="G1102" s="1">
        <v>45334</v>
      </c>
      <c r="H1102">
        <v>466983</v>
      </c>
      <c r="I1102">
        <v>11114</v>
      </c>
      <c r="J1102">
        <v>543</v>
      </c>
      <c r="K1102">
        <v>12404.26</v>
      </c>
      <c r="L1102">
        <v>40907.24</v>
      </c>
      <c r="M1102">
        <v>2.38</v>
      </c>
      <c r="N1102">
        <v>4.8899999999999997</v>
      </c>
      <c r="O1102">
        <v>1.1200000000000001</v>
      </c>
      <c r="P1102">
        <v>22.84</v>
      </c>
      <c r="Q1102">
        <v>3.3</v>
      </c>
      <c r="R1102">
        <v>229.78</v>
      </c>
    </row>
    <row r="1103" spans="1:18" x14ac:dyDescent="0.3">
      <c r="A1103" t="s">
        <v>2234</v>
      </c>
      <c r="B1103" t="s">
        <v>2235</v>
      </c>
      <c r="C1103" t="s">
        <v>29</v>
      </c>
      <c r="D1103" t="s">
        <v>30</v>
      </c>
      <c r="E1103" t="s">
        <v>41</v>
      </c>
      <c r="F1103" s="1">
        <v>45439</v>
      </c>
      <c r="G1103" s="1">
        <v>45450</v>
      </c>
      <c r="H1103">
        <v>324300</v>
      </c>
      <c r="I1103">
        <v>14269</v>
      </c>
      <c r="J1103">
        <v>730</v>
      </c>
      <c r="K1103">
        <v>12964.8</v>
      </c>
      <c r="L1103">
        <v>43644.77</v>
      </c>
      <c r="M1103">
        <v>4.4000000000000004</v>
      </c>
      <c r="N1103">
        <v>5.12</v>
      </c>
      <c r="O1103">
        <v>0.91</v>
      </c>
      <c r="P1103">
        <v>17.760000000000002</v>
      </c>
      <c r="Q1103">
        <v>3.37</v>
      </c>
      <c r="R1103">
        <v>236.64</v>
      </c>
    </row>
    <row r="1104" spans="1:18" x14ac:dyDescent="0.3">
      <c r="A1104" t="s">
        <v>2236</v>
      </c>
      <c r="B1104" t="s">
        <v>2237</v>
      </c>
      <c r="C1104" t="s">
        <v>44</v>
      </c>
      <c r="D1104" t="s">
        <v>21</v>
      </c>
      <c r="E1104" t="s">
        <v>38</v>
      </c>
      <c r="F1104" s="1">
        <v>45294</v>
      </c>
      <c r="G1104" s="1">
        <v>45328</v>
      </c>
      <c r="H1104">
        <v>71471</v>
      </c>
      <c r="I1104">
        <v>1265</v>
      </c>
      <c r="J1104">
        <v>55</v>
      </c>
      <c r="K1104">
        <v>4042.95</v>
      </c>
      <c r="L1104">
        <v>16970.88</v>
      </c>
      <c r="M1104">
        <v>1.77</v>
      </c>
      <c r="N1104">
        <v>4.3899999999999997</v>
      </c>
      <c r="O1104">
        <v>3.2</v>
      </c>
      <c r="P1104">
        <v>73.510000000000005</v>
      </c>
      <c r="Q1104">
        <v>4.2</v>
      </c>
      <c r="R1104">
        <v>319.76</v>
      </c>
    </row>
    <row r="1105" spans="1:18" x14ac:dyDescent="0.3">
      <c r="A1105" t="s">
        <v>2238</v>
      </c>
      <c r="B1105" t="s">
        <v>2239</v>
      </c>
      <c r="C1105" t="s">
        <v>44</v>
      </c>
      <c r="D1105" t="s">
        <v>21</v>
      </c>
      <c r="E1105" t="s">
        <v>26</v>
      </c>
      <c r="F1105" s="1">
        <v>45579</v>
      </c>
      <c r="G1105" s="1">
        <v>45595</v>
      </c>
      <c r="H1105">
        <v>181823</v>
      </c>
      <c r="I1105">
        <v>2836</v>
      </c>
      <c r="J1105">
        <v>129</v>
      </c>
      <c r="K1105">
        <v>12315.79</v>
      </c>
      <c r="L1105">
        <v>52452.57</v>
      </c>
      <c r="M1105">
        <v>1.56</v>
      </c>
      <c r="N1105">
        <v>4.58</v>
      </c>
      <c r="O1105">
        <v>4.34</v>
      </c>
      <c r="P1105">
        <v>95.47</v>
      </c>
      <c r="Q1105">
        <v>4.26</v>
      </c>
      <c r="R1105">
        <v>325.89999999999998</v>
      </c>
    </row>
    <row r="1106" spans="1:18" x14ac:dyDescent="0.3">
      <c r="A1106" t="s">
        <v>2240</v>
      </c>
      <c r="B1106" t="s">
        <v>2241</v>
      </c>
      <c r="C1106" t="s">
        <v>20</v>
      </c>
      <c r="D1106" t="s">
        <v>57</v>
      </c>
      <c r="E1106" t="s">
        <v>41</v>
      </c>
      <c r="F1106" s="1">
        <v>45534</v>
      </c>
      <c r="G1106" s="1">
        <v>45563</v>
      </c>
      <c r="H1106">
        <v>434330</v>
      </c>
      <c r="I1106">
        <v>14289</v>
      </c>
      <c r="J1106">
        <v>1073</v>
      </c>
      <c r="K1106">
        <v>6614.36</v>
      </c>
      <c r="L1106">
        <v>19742.939999999999</v>
      </c>
      <c r="M1106">
        <v>3.29</v>
      </c>
      <c r="N1106">
        <v>7.51</v>
      </c>
      <c r="O1106">
        <v>0.46</v>
      </c>
      <c r="P1106">
        <v>6.16</v>
      </c>
      <c r="Q1106">
        <v>2.98</v>
      </c>
      <c r="R1106">
        <v>198.49</v>
      </c>
    </row>
    <row r="1107" spans="1:18" x14ac:dyDescent="0.3">
      <c r="A1107" t="s">
        <v>2242</v>
      </c>
      <c r="B1107" t="s">
        <v>2243</v>
      </c>
      <c r="C1107" t="s">
        <v>29</v>
      </c>
      <c r="D1107" t="s">
        <v>30</v>
      </c>
      <c r="E1107" t="s">
        <v>38</v>
      </c>
      <c r="F1107" s="1">
        <v>45451</v>
      </c>
      <c r="G1107" s="1">
        <v>45469</v>
      </c>
      <c r="H1107">
        <v>259250</v>
      </c>
      <c r="I1107">
        <v>11407</v>
      </c>
      <c r="J1107">
        <v>284</v>
      </c>
      <c r="K1107">
        <v>6918.91</v>
      </c>
      <c r="L1107">
        <v>23241.32</v>
      </c>
      <c r="M1107">
        <v>4.4000000000000004</v>
      </c>
      <c r="N1107">
        <v>2.4900000000000002</v>
      </c>
      <c r="O1107">
        <v>0.61</v>
      </c>
      <c r="P1107">
        <v>24.36</v>
      </c>
      <c r="Q1107">
        <v>3.36</v>
      </c>
      <c r="R1107">
        <v>235.91</v>
      </c>
    </row>
    <row r="1108" spans="1:18" x14ac:dyDescent="0.3">
      <c r="A1108" t="s">
        <v>2244</v>
      </c>
      <c r="B1108" t="s">
        <v>2245</v>
      </c>
      <c r="C1108" t="s">
        <v>37</v>
      </c>
      <c r="D1108" t="s">
        <v>30</v>
      </c>
      <c r="E1108" t="s">
        <v>22</v>
      </c>
      <c r="F1108" s="1">
        <v>45575</v>
      </c>
      <c r="G1108" s="1">
        <v>45594</v>
      </c>
      <c r="H1108">
        <v>471726</v>
      </c>
      <c r="I1108">
        <v>35237</v>
      </c>
      <c r="J1108">
        <v>5225</v>
      </c>
      <c r="K1108">
        <v>1397.78</v>
      </c>
      <c r="L1108">
        <v>3649.06</v>
      </c>
      <c r="M1108">
        <v>7.47</v>
      </c>
      <c r="N1108">
        <v>14.83</v>
      </c>
      <c r="O1108">
        <v>0.04</v>
      </c>
      <c r="P1108">
        <v>0.27</v>
      </c>
      <c r="Q1108">
        <v>2.61</v>
      </c>
      <c r="R1108">
        <v>161.06</v>
      </c>
    </row>
    <row r="1109" spans="1:18" x14ac:dyDescent="0.3">
      <c r="A1109" t="s">
        <v>2246</v>
      </c>
      <c r="B1109" t="s">
        <v>2247</v>
      </c>
      <c r="C1109" t="s">
        <v>44</v>
      </c>
      <c r="D1109" t="s">
        <v>57</v>
      </c>
      <c r="E1109" t="s">
        <v>26</v>
      </c>
      <c r="F1109" s="1">
        <v>45515</v>
      </c>
      <c r="G1109" s="1">
        <v>45528</v>
      </c>
      <c r="H1109">
        <v>205888</v>
      </c>
      <c r="I1109">
        <v>5497</v>
      </c>
      <c r="J1109">
        <v>203</v>
      </c>
      <c r="K1109">
        <v>9322.8799999999992</v>
      </c>
      <c r="L1109">
        <v>34418.639999999999</v>
      </c>
      <c r="M1109">
        <v>2.67</v>
      </c>
      <c r="N1109">
        <v>3.7</v>
      </c>
      <c r="O1109">
        <v>1.7</v>
      </c>
      <c r="P1109">
        <v>45.93</v>
      </c>
      <c r="Q1109">
        <v>3.69</v>
      </c>
      <c r="R1109">
        <v>269.18</v>
      </c>
    </row>
    <row r="1110" spans="1:18" x14ac:dyDescent="0.3">
      <c r="A1110" t="s">
        <v>2248</v>
      </c>
      <c r="B1110" t="s">
        <v>2249</v>
      </c>
      <c r="C1110" t="s">
        <v>29</v>
      </c>
      <c r="D1110" t="s">
        <v>30</v>
      </c>
      <c r="E1110" t="s">
        <v>22</v>
      </c>
      <c r="F1110" s="1">
        <v>45507</v>
      </c>
      <c r="G1110" s="1">
        <v>45540</v>
      </c>
      <c r="H1110">
        <v>314144</v>
      </c>
      <c r="I1110">
        <v>13508</v>
      </c>
      <c r="J1110">
        <v>751</v>
      </c>
      <c r="K1110">
        <v>10025.68</v>
      </c>
      <c r="L1110">
        <v>39345.89</v>
      </c>
      <c r="M1110">
        <v>4.3</v>
      </c>
      <c r="N1110">
        <v>5.56</v>
      </c>
      <c r="O1110">
        <v>0.74</v>
      </c>
      <c r="P1110">
        <v>13.35</v>
      </c>
      <c r="Q1110">
        <v>3.92</v>
      </c>
      <c r="R1110">
        <v>292.45</v>
      </c>
    </row>
    <row r="1111" spans="1:18" x14ac:dyDescent="0.3">
      <c r="A1111" t="s">
        <v>2250</v>
      </c>
      <c r="B1111" t="s">
        <v>2251</v>
      </c>
      <c r="C1111" t="s">
        <v>25</v>
      </c>
      <c r="D1111" t="s">
        <v>21</v>
      </c>
      <c r="E1111" t="s">
        <v>31</v>
      </c>
      <c r="F1111" s="1">
        <v>45446</v>
      </c>
      <c r="G1111" s="1">
        <v>45468</v>
      </c>
      <c r="H1111">
        <v>63852</v>
      </c>
      <c r="I1111">
        <v>1551</v>
      </c>
      <c r="J1111">
        <v>123</v>
      </c>
      <c r="K1111">
        <v>16093.7</v>
      </c>
      <c r="L1111">
        <v>76741.820000000007</v>
      </c>
      <c r="M1111">
        <v>2.4300000000000002</v>
      </c>
      <c r="N1111">
        <v>7.95</v>
      </c>
      <c r="O1111">
        <v>10.38</v>
      </c>
      <c r="P1111">
        <v>130.84</v>
      </c>
      <c r="Q1111">
        <v>4.7699999999999996</v>
      </c>
      <c r="R1111">
        <v>376.84</v>
      </c>
    </row>
    <row r="1112" spans="1:18" x14ac:dyDescent="0.3">
      <c r="A1112" t="s">
        <v>2252</v>
      </c>
      <c r="B1112" t="s">
        <v>2253</v>
      </c>
      <c r="C1112" t="s">
        <v>37</v>
      </c>
      <c r="D1112" t="s">
        <v>57</v>
      </c>
      <c r="E1112" t="s">
        <v>41</v>
      </c>
      <c r="F1112" s="1">
        <v>45493</v>
      </c>
      <c r="G1112" s="1">
        <v>45508</v>
      </c>
      <c r="H1112">
        <v>375525</v>
      </c>
      <c r="I1112">
        <v>27263</v>
      </c>
      <c r="J1112">
        <v>3724</v>
      </c>
      <c r="K1112">
        <v>1820.04</v>
      </c>
      <c r="L1112">
        <v>9826.41</v>
      </c>
      <c r="M1112">
        <v>7.26</v>
      </c>
      <c r="N1112">
        <v>13.66</v>
      </c>
      <c r="O1112">
        <v>7.0000000000000007E-2</v>
      </c>
      <c r="P1112">
        <v>0.49</v>
      </c>
      <c r="Q1112">
        <v>5.4</v>
      </c>
      <c r="R1112">
        <v>439.9</v>
      </c>
    </row>
    <row r="1113" spans="1:18" x14ac:dyDescent="0.3">
      <c r="A1113" t="s">
        <v>2254</v>
      </c>
      <c r="B1113" t="s">
        <v>2255</v>
      </c>
      <c r="C1113" t="s">
        <v>25</v>
      </c>
      <c r="D1113" t="s">
        <v>21</v>
      </c>
      <c r="E1113" t="s">
        <v>38</v>
      </c>
      <c r="F1113" s="1">
        <v>45430</v>
      </c>
      <c r="G1113" s="1">
        <v>45443</v>
      </c>
      <c r="H1113">
        <v>473352</v>
      </c>
      <c r="I1113">
        <v>9940</v>
      </c>
      <c r="J1113">
        <v>857</v>
      </c>
      <c r="K1113">
        <v>17427.169999999998</v>
      </c>
      <c r="L1113">
        <v>41493.5</v>
      </c>
      <c r="M1113">
        <v>2.1</v>
      </c>
      <c r="N1113">
        <v>8.6300000000000008</v>
      </c>
      <c r="O1113">
        <v>1.75</v>
      </c>
      <c r="P1113">
        <v>20.34</v>
      </c>
      <c r="Q1113">
        <v>2.38</v>
      </c>
      <c r="R1113">
        <v>138.1</v>
      </c>
    </row>
    <row r="1114" spans="1:18" x14ac:dyDescent="0.3">
      <c r="A1114" t="s">
        <v>2256</v>
      </c>
      <c r="B1114" t="s">
        <v>2257</v>
      </c>
      <c r="C1114" t="s">
        <v>44</v>
      </c>
      <c r="D1114" t="s">
        <v>21</v>
      </c>
      <c r="E1114" t="s">
        <v>22</v>
      </c>
      <c r="F1114" s="1">
        <v>45553</v>
      </c>
      <c r="G1114" s="1">
        <v>45563</v>
      </c>
      <c r="H1114">
        <v>346455</v>
      </c>
      <c r="I1114">
        <v>8488</v>
      </c>
      <c r="J1114">
        <v>225</v>
      </c>
      <c r="K1114">
        <v>3260.81</v>
      </c>
      <c r="L1114">
        <v>17387.060000000001</v>
      </c>
      <c r="M1114">
        <v>2.4500000000000002</v>
      </c>
      <c r="N1114">
        <v>2.66</v>
      </c>
      <c r="O1114">
        <v>0.38</v>
      </c>
      <c r="P1114">
        <v>14.49</v>
      </c>
      <c r="Q1114">
        <v>5.33</v>
      </c>
      <c r="R1114">
        <v>433.21</v>
      </c>
    </row>
    <row r="1115" spans="1:18" x14ac:dyDescent="0.3">
      <c r="A1115" t="s">
        <v>2258</v>
      </c>
      <c r="B1115" t="s">
        <v>2259</v>
      </c>
      <c r="C1115" t="s">
        <v>29</v>
      </c>
      <c r="D1115" t="s">
        <v>34</v>
      </c>
      <c r="E1115" t="s">
        <v>31</v>
      </c>
      <c r="F1115" s="1">
        <v>45371</v>
      </c>
      <c r="G1115" s="1">
        <v>45397</v>
      </c>
      <c r="H1115">
        <v>438195</v>
      </c>
      <c r="I1115">
        <v>19280</v>
      </c>
      <c r="J1115">
        <v>516</v>
      </c>
      <c r="K1115">
        <v>16425.79</v>
      </c>
      <c r="L1115">
        <v>80133.320000000007</v>
      </c>
      <c r="M1115">
        <v>4.4000000000000004</v>
      </c>
      <c r="N1115">
        <v>2.68</v>
      </c>
      <c r="O1115">
        <v>0.85</v>
      </c>
      <c r="P1115">
        <v>31.83</v>
      </c>
      <c r="Q1115">
        <v>4.88</v>
      </c>
      <c r="R1115">
        <v>387.85</v>
      </c>
    </row>
    <row r="1116" spans="1:18" x14ac:dyDescent="0.3">
      <c r="A1116" t="s">
        <v>2260</v>
      </c>
      <c r="B1116" t="s">
        <v>2261</v>
      </c>
      <c r="C1116" t="s">
        <v>44</v>
      </c>
      <c r="D1116" t="s">
        <v>21</v>
      </c>
      <c r="E1116" t="s">
        <v>38</v>
      </c>
      <c r="F1116" s="1">
        <v>45353</v>
      </c>
      <c r="G1116" s="1">
        <v>45393</v>
      </c>
      <c r="H1116">
        <v>376979</v>
      </c>
      <c r="I1116">
        <v>11271</v>
      </c>
      <c r="J1116">
        <v>214</v>
      </c>
      <c r="K1116">
        <v>2500.4499999999998</v>
      </c>
      <c r="L1116">
        <v>11794.77</v>
      </c>
      <c r="M1116">
        <v>2.99</v>
      </c>
      <c r="N1116">
        <v>1.9</v>
      </c>
      <c r="O1116">
        <v>0.22</v>
      </c>
      <c r="P1116">
        <v>11.68</v>
      </c>
      <c r="Q1116">
        <v>4.72</v>
      </c>
      <c r="R1116">
        <v>371.71</v>
      </c>
    </row>
    <row r="1117" spans="1:18" x14ac:dyDescent="0.3">
      <c r="A1117" t="s">
        <v>2262</v>
      </c>
      <c r="B1117" t="s">
        <v>2263</v>
      </c>
      <c r="C1117" t="s">
        <v>20</v>
      </c>
      <c r="D1117" t="s">
        <v>34</v>
      </c>
      <c r="E1117" t="s">
        <v>41</v>
      </c>
      <c r="F1117" s="1">
        <v>45354</v>
      </c>
      <c r="G1117" s="1">
        <v>45380</v>
      </c>
      <c r="H1117">
        <v>104319</v>
      </c>
      <c r="I1117">
        <v>4579</v>
      </c>
      <c r="J1117">
        <v>412</v>
      </c>
      <c r="K1117">
        <v>13876.32</v>
      </c>
      <c r="L1117">
        <v>31227.81</v>
      </c>
      <c r="M1117">
        <v>4.3899999999999997</v>
      </c>
      <c r="N1117">
        <v>9</v>
      </c>
      <c r="O1117">
        <v>3.03</v>
      </c>
      <c r="P1117">
        <v>33.68</v>
      </c>
      <c r="Q1117">
        <v>2.25</v>
      </c>
      <c r="R1117">
        <v>125.04</v>
      </c>
    </row>
    <row r="1118" spans="1:18" x14ac:dyDescent="0.3">
      <c r="A1118" t="s">
        <v>2264</v>
      </c>
      <c r="B1118" t="s">
        <v>2265</v>
      </c>
      <c r="C1118" t="s">
        <v>25</v>
      </c>
      <c r="D1118" t="s">
        <v>30</v>
      </c>
      <c r="E1118" t="s">
        <v>41</v>
      </c>
      <c r="F1118" s="1">
        <v>45516</v>
      </c>
      <c r="G1118" s="1">
        <v>45530</v>
      </c>
      <c r="H1118">
        <v>480058</v>
      </c>
      <c r="I1118">
        <v>5760</v>
      </c>
      <c r="J1118">
        <v>629</v>
      </c>
      <c r="K1118">
        <v>8164.34</v>
      </c>
      <c r="L1118">
        <v>38841.199999999997</v>
      </c>
      <c r="M1118">
        <v>1.2</v>
      </c>
      <c r="N1118">
        <v>10.93</v>
      </c>
      <c r="O1118">
        <v>1.42</v>
      </c>
      <c r="P1118">
        <v>12.98</v>
      </c>
      <c r="Q1118">
        <v>4.76</v>
      </c>
      <c r="R1118">
        <v>375.74</v>
      </c>
    </row>
    <row r="1119" spans="1:18" x14ac:dyDescent="0.3">
      <c r="A1119" t="s">
        <v>2266</v>
      </c>
      <c r="B1119" t="s">
        <v>2267</v>
      </c>
      <c r="C1119" t="s">
        <v>25</v>
      </c>
      <c r="D1119" t="s">
        <v>34</v>
      </c>
      <c r="E1119" t="s">
        <v>26</v>
      </c>
      <c r="F1119" s="1">
        <v>45571</v>
      </c>
      <c r="G1119" s="1">
        <v>45590</v>
      </c>
      <c r="H1119">
        <v>146892</v>
      </c>
      <c r="I1119">
        <v>1527</v>
      </c>
      <c r="J1119">
        <v>155</v>
      </c>
      <c r="K1119">
        <v>7850.91</v>
      </c>
      <c r="L1119">
        <v>33773.18</v>
      </c>
      <c r="M1119">
        <v>1.04</v>
      </c>
      <c r="N1119">
        <v>10.210000000000001</v>
      </c>
      <c r="O1119">
        <v>5.14</v>
      </c>
      <c r="P1119">
        <v>50.65</v>
      </c>
      <c r="Q1119">
        <v>4.3</v>
      </c>
      <c r="R1119">
        <v>330.18</v>
      </c>
    </row>
    <row r="1120" spans="1:18" x14ac:dyDescent="0.3">
      <c r="A1120" t="s">
        <v>2268</v>
      </c>
      <c r="B1120" t="s">
        <v>2269</v>
      </c>
      <c r="C1120" t="s">
        <v>25</v>
      </c>
      <c r="D1120" t="s">
        <v>30</v>
      </c>
      <c r="E1120" t="s">
        <v>22</v>
      </c>
      <c r="F1120" s="1">
        <v>45492</v>
      </c>
      <c r="G1120" s="1">
        <v>45523</v>
      </c>
      <c r="H1120">
        <v>201754</v>
      </c>
      <c r="I1120">
        <v>3893</v>
      </c>
      <c r="J1120">
        <v>455</v>
      </c>
      <c r="K1120">
        <v>11887.43</v>
      </c>
      <c r="L1120">
        <v>59492.41</v>
      </c>
      <c r="M1120">
        <v>1.93</v>
      </c>
      <c r="N1120">
        <v>11.71</v>
      </c>
      <c r="O1120">
        <v>3.05</v>
      </c>
      <c r="P1120">
        <v>26.13</v>
      </c>
      <c r="Q1120">
        <v>5</v>
      </c>
      <c r="R1120">
        <v>400.46</v>
      </c>
    </row>
    <row r="1121" spans="1:18" x14ac:dyDescent="0.3">
      <c r="A1121" t="s">
        <v>2270</v>
      </c>
      <c r="B1121" t="s">
        <v>2271</v>
      </c>
      <c r="C1121" t="s">
        <v>20</v>
      </c>
      <c r="D1121" t="s">
        <v>30</v>
      </c>
      <c r="E1121" t="s">
        <v>38</v>
      </c>
      <c r="F1121" s="1">
        <v>45297</v>
      </c>
      <c r="G1121" s="1">
        <v>45341</v>
      </c>
      <c r="H1121">
        <v>476504</v>
      </c>
      <c r="I1121">
        <v>20013</v>
      </c>
      <c r="J1121">
        <v>834</v>
      </c>
      <c r="K1121">
        <v>14141.65</v>
      </c>
      <c r="L1121">
        <v>64188.11</v>
      </c>
      <c r="M1121">
        <v>4.2</v>
      </c>
      <c r="N1121">
        <v>4.17</v>
      </c>
      <c r="O1121">
        <v>0.71</v>
      </c>
      <c r="P1121">
        <v>16.96</v>
      </c>
      <c r="Q1121">
        <v>4.54</v>
      </c>
      <c r="R1121">
        <v>353.89</v>
      </c>
    </row>
    <row r="1122" spans="1:18" x14ac:dyDescent="0.3">
      <c r="A1122" t="s">
        <v>2272</v>
      </c>
      <c r="B1122" t="s">
        <v>2273</v>
      </c>
      <c r="C1122" t="s">
        <v>44</v>
      </c>
      <c r="D1122" t="s">
        <v>21</v>
      </c>
      <c r="E1122" t="s">
        <v>31</v>
      </c>
      <c r="F1122" s="1">
        <v>45526</v>
      </c>
      <c r="G1122" s="1">
        <v>45550</v>
      </c>
      <c r="H1122">
        <v>283035</v>
      </c>
      <c r="I1122">
        <v>3707</v>
      </c>
      <c r="J1122">
        <v>173</v>
      </c>
      <c r="K1122">
        <v>14534.96</v>
      </c>
      <c r="L1122">
        <v>59674.47</v>
      </c>
      <c r="M1122">
        <v>1.31</v>
      </c>
      <c r="N1122">
        <v>4.67</v>
      </c>
      <c r="O1122">
        <v>3.92</v>
      </c>
      <c r="P1122">
        <v>84.02</v>
      </c>
      <c r="Q1122">
        <v>4.1100000000000003</v>
      </c>
      <c r="R1122">
        <v>310.56</v>
      </c>
    </row>
    <row r="1123" spans="1:18" x14ac:dyDescent="0.3">
      <c r="A1123" t="s">
        <v>2274</v>
      </c>
      <c r="B1123" t="s">
        <v>2275</v>
      </c>
      <c r="C1123" t="s">
        <v>20</v>
      </c>
      <c r="D1123" t="s">
        <v>34</v>
      </c>
      <c r="E1123" t="s">
        <v>22</v>
      </c>
      <c r="F1123" s="1">
        <v>45491</v>
      </c>
      <c r="G1123" s="1">
        <v>45530</v>
      </c>
      <c r="H1123">
        <v>312478</v>
      </c>
      <c r="I1123">
        <v>18498</v>
      </c>
      <c r="J1123">
        <v>1298</v>
      </c>
      <c r="K1123">
        <v>11976.68</v>
      </c>
      <c r="L1123">
        <v>62015.38</v>
      </c>
      <c r="M1123">
        <v>5.92</v>
      </c>
      <c r="N1123">
        <v>7.02</v>
      </c>
      <c r="O1123">
        <v>0.65</v>
      </c>
      <c r="P1123">
        <v>9.23</v>
      </c>
      <c r="Q1123">
        <v>5.18</v>
      </c>
      <c r="R1123">
        <v>417.8</v>
      </c>
    </row>
    <row r="1124" spans="1:18" x14ac:dyDescent="0.3">
      <c r="A1124" t="s">
        <v>2276</v>
      </c>
      <c r="B1124" t="s">
        <v>2277</v>
      </c>
      <c r="C1124" t="s">
        <v>20</v>
      </c>
      <c r="D1124" t="s">
        <v>34</v>
      </c>
      <c r="E1124" t="s">
        <v>41</v>
      </c>
      <c r="F1124" s="1">
        <v>45363</v>
      </c>
      <c r="G1124" s="1">
        <v>45387</v>
      </c>
      <c r="H1124">
        <v>234479</v>
      </c>
      <c r="I1124">
        <v>12005</v>
      </c>
      <c r="J1124">
        <v>885</v>
      </c>
      <c r="K1124">
        <v>14189.63</v>
      </c>
      <c r="L1124">
        <v>83207.81</v>
      </c>
      <c r="M1124">
        <v>5.12</v>
      </c>
      <c r="N1124">
        <v>7.38</v>
      </c>
      <c r="O1124">
        <v>1.18</v>
      </c>
      <c r="P1124">
        <v>16.03</v>
      </c>
      <c r="Q1124">
        <v>5.86</v>
      </c>
      <c r="R1124">
        <v>486.4</v>
      </c>
    </row>
    <row r="1125" spans="1:18" x14ac:dyDescent="0.3">
      <c r="A1125" t="s">
        <v>2278</v>
      </c>
      <c r="B1125" t="s">
        <v>2279</v>
      </c>
      <c r="C1125" t="s">
        <v>44</v>
      </c>
      <c r="D1125" t="s">
        <v>30</v>
      </c>
      <c r="E1125" t="s">
        <v>26</v>
      </c>
      <c r="F1125" s="1">
        <v>45586</v>
      </c>
      <c r="G1125" s="1">
        <v>45625</v>
      </c>
      <c r="H1125">
        <v>490048</v>
      </c>
      <c r="I1125">
        <v>14113</v>
      </c>
      <c r="J1125">
        <v>397</v>
      </c>
      <c r="K1125">
        <v>8396.9</v>
      </c>
      <c r="L1125">
        <v>41693.74</v>
      </c>
      <c r="M1125">
        <v>2.88</v>
      </c>
      <c r="N1125">
        <v>2.82</v>
      </c>
      <c r="O1125">
        <v>0.59</v>
      </c>
      <c r="P1125">
        <v>21.15</v>
      </c>
      <c r="Q1125">
        <v>4.97</v>
      </c>
      <c r="R1125">
        <v>396.54</v>
      </c>
    </row>
    <row r="1126" spans="1:18" x14ac:dyDescent="0.3">
      <c r="A1126" t="s">
        <v>2280</v>
      </c>
      <c r="B1126" t="s">
        <v>2281</v>
      </c>
      <c r="C1126" t="s">
        <v>37</v>
      </c>
      <c r="D1126" t="s">
        <v>57</v>
      </c>
      <c r="E1126" t="s">
        <v>41</v>
      </c>
      <c r="F1126" s="1">
        <v>45498</v>
      </c>
      <c r="G1126" s="1">
        <v>45509</v>
      </c>
      <c r="H1126">
        <v>415831</v>
      </c>
      <c r="I1126">
        <v>24700</v>
      </c>
      <c r="J1126">
        <v>4334</v>
      </c>
      <c r="K1126">
        <v>2066.4299999999998</v>
      </c>
      <c r="L1126">
        <v>9874.7199999999993</v>
      </c>
      <c r="M1126">
        <v>5.94</v>
      </c>
      <c r="N1126">
        <v>17.55</v>
      </c>
      <c r="O1126">
        <v>0.08</v>
      </c>
      <c r="P1126">
        <v>0.48</v>
      </c>
      <c r="Q1126">
        <v>4.78</v>
      </c>
      <c r="R1126">
        <v>377.86</v>
      </c>
    </row>
    <row r="1127" spans="1:18" x14ac:dyDescent="0.3">
      <c r="A1127" t="s">
        <v>2282</v>
      </c>
      <c r="B1127" t="s">
        <v>2283</v>
      </c>
      <c r="C1127" t="s">
        <v>20</v>
      </c>
      <c r="D1127" t="s">
        <v>21</v>
      </c>
      <c r="E1127" t="s">
        <v>41</v>
      </c>
      <c r="F1127" s="1">
        <v>45410</v>
      </c>
      <c r="G1127" s="1">
        <v>45432</v>
      </c>
      <c r="H1127">
        <v>171479</v>
      </c>
      <c r="I1127">
        <v>4955</v>
      </c>
      <c r="J1127">
        <v>229</v>
      </c>
      <c r="K1127">
        <v>23684.68</v>
      </c>
      <c r="L1127">
        <v>98145.96</v>
      </c>
      <c r="M1127">
        <v>2.89</v>
      </c>
      <c r="N1127">
        <v>4.6399999999999997</v>
      </c>
      <c r="O1127">
        <v>4.78</v>
      </c>
      <c r="P1127">
        <v>103.43</v>
      </c>
      <c r="Q1127">
        <v>4.1399999999999997</v>
      </c>
      <c r="R1127">
        <v>314.39</v>
      </c>
    </row>
    <row r="1128" spans="1:18" x14ac:dyDescent="0.3">
      <c r="A1128" t="s">
        <v>2284</v>
      </c>
      <c r="B1128" t="s">
        <v>2285</v>
      </c>
      <c r="C1128" t="s">
        <v>20</v>
      </c>
      <c r="D1128" t="s">
        <v>34</v>
      </c>
      <c r="E1128" t="s">
        <v>38</v>
      </c>
      <c r="F1128" s="1">
        <v>45311</v>
      </c>
      <c r="G1128" s="1">
        <v>45322</v>
      </c>
      <c r="H1128">
        <v>446264</v>
      </c>
      <c r="I1128">
        <v>28516</v>
      </c>
      <c r="J1128">
        <v>2717</v>
      </c>
      <c r="K1128">
        <v>6238.53</v>
      </c>
      <c r="L1128">
        <v>19508.990000000002</v>
      </c>
      <c r="M1128">
        <v>6.39</v>
      </c>
      <c r="N1128">
        <v>9.5299999999999994</v>
      </c>
      <c r="O1128">
        <v>0.22</v>
      </c>
      <c r="P1128">
        <v>2.2999999999999998</v>
      </c>
      <c r="Q1128">
        <v>3.13</v>
      </c>
      <c r="R1128">
        <v>212.72</v>
      </c>
    </row>
    <row r="1129" spans="1:18" x14ac:dyDescent="0.3">
      <c r="A1129" t="s">
        <v>2286</v>
      </c>
      <c r="B1129" t="s">
        <v>2287</v>
      </c>
      <c r="C1129" t="s">
        <v>25</v>
      </c>
      <c r="D1129" t="s">
        <v>57</v>
      </c>
      <c r="E1129" t="s">
        <v>31</v>
      </c>
      <c r="F1129" s="1">
        <v>45485</v>
      </c>
      <c r="G1129" s="1">
        <v>45500</v>
      </c>
      <c r="H1129">
        <v>380979</v>
      </c>
      <c r="I1129">
        <v>8495</v>
      </c>
      <c r="J1129">
        <v>973</v>
      </c>
      <c r="K1129">
        <v>9138.5499999999993</v>
      </c>
      <c r="L1129">
        <v>47011.13</v>
      </c>
      <c r="M1129">
        <v>2.23</v>
      </c>
      <c r="N1129">
        <v>11.46</v>
      </c>
      <c r="O1129">
        <v>1.08</v>
      </c>
      <c r="P1129">
        <v>9.39</v>
      </c>
      <c r="Q1129">
        <v>5.14</v>
      </c>
      <c r="R1129">
        <v>414.43</v>
      </c>
    </row>
    <row r="1130" spans="1:18" x14ac:dyDescent="0.3">
      <c r="A1130" t="s">
        <v>2288</v>
      </c>
      <c r="B1130" t="s">
        <v>2289</v>
      </c>
      <c r="C1130" t="s">
        <v>37</v>
      </c>
      <c r="D1130" t="s">
        <v>34</v>
      </c>
      <c r="E1130" t="s">
        <v>41</v>
      </c>
      <c r="F1130" s="1">
        <v>45514</v>
      </c>
      <c r="G1130" s="1">
        <v>45554</v>
      </c>
      <c r="H1130">
        <v>182380</v>
      </c>
      <c r="I1130">
        <v>12675</v>
      </c>
      <c r="J1130">
        <v>1874</v>
      </c>
      <c r="K1130">
        <v>1514.73</v>
      </c>
      <c r="L1130">
        <v>8088.19</v>
      </c>
      <c r="M1130">
        <v>6.95</v>
      </c>
      <c r="N1130">
        <v>14.79</v>
      </c>
      <c r="O1130">
        <v>0.12</v>
      </c>
      <c r="P1130">
        <v>0.81</v>
      </c>
      <c r="Q1130">
        <v>5.34</v>
      </c>
      <c r="R1130">
        <v>433.97</v>
      </c>
    </row>
    <row r="1131" spans="1:18" x14ac:dyDescent="0.3">
      <c r="A1131" t="s">
        <v>2290</v>
      </c>
      <c r="B1131" t="s">
        <v>2291</v>
      </c>
      <c r="C1131" t="s">
        <v>29</v>
      </c>
      <c r="D1131" t="s">
        <v>21</v>
      </c>
      <c r="E1131" t="s">
        <v>31</v>
      </c>
      <c r="F1131" s="1">
        <v>45294</v>
      </c>
      <c r="G1131" s="1">
        <v>45324</v>
      </c>
      <c r="H1131">
        <v>62710</v>
      </c>
      <c r="I1131">
        <v>2125</v>
      </c>
      <c r="J1131">
        <v>113</v>
      </c>
      <c r="K1131">
        <v>6053.09</v>
      </c>
      <c r="L1131">
        <v>34169.93</v>
      </c>
      <c r="M1131">
        <v>3.39</v>
      </c>
      <c r="N1131">
        <v>5.34</v>
      </c>
      <c r="O1131">
        <v>2.85</v>
      </c>
      <c r="P1131">
        <v>53.57</v>
      </c>
      <c r="Q1131">
        <v>5.65</v>
      </c>
      <c r="R1131">
        <v>464.5</v>
      </c>
    </row>
    <row r="1132" spans="1:18" x14ac:dyDescent="0.3">
      <c r="A1132" t="s">
        <v>2292</v>
      </c>
      <c r="B1132" t="s">
        <v>2293</v>
      </c>
      <c r="C1132" t="s">
        <v>25</v>
      </c>
      <c r="D1132" t="s">
        <v>21</v>
      </c>
      <c r="E1132" t="s">
        <v>22</v>
      </c>
      <c r="F1132" s="1">
        <v>45389</v>
      </c>
      <c r="G1132" s="1">
        <v>45409</v>
      </c>
      <c r="H1132">
        <v>147152</v>
      </c>
      <c r="I1132">
        <v>2884</v>
      </c>
      <c r="J1132">
        <v>337</v>
      </c>
      <c r="K1132">
        <v>15652.54</v>
      </c>
      <c r="L1132">
        <v>68506.399999999994</v>
      </c>
      <c r="M1132">
        <v>1.96</v>
      </c>
      <c r="N1132">
        <v>11.7</v>
      </c>
      <c r="O1132">
        <v>5.43</v>
      </c>
      <c r="P1132">
        <v>46.45</v>
      </c>
      <c r="Q1132">
        <v>4.38</v>
      </c>
      <c r="R1132">
        <v>337.67</v>
      </c>
    </row>
    <row r="1133" spans="1:18" x14ac:dyDescent="0.3">
      <c r="A1133" t="s">
        <v>2294</v>
      </c>
      <c r="B1133" t="s">
        <v>2295</v>
      </c>
      <c r="C1133" t="s">
        <v>37</v>
      </c>
      <c r="D1133" t="s">
        <v>30</v>
      </c>
      <c r="E1133" t="s">
        <v>31</v>
      </c>
      <c r="F1133" s="1">
        <v>45516</v>
      </c>
      <c r="G1133" s="1">
        <v>45550</v>
      </c>
      <c r="H1133">
        <v>234604</v>
      </c>
      <c r="I1133">
        <v>14404</v>
      </c>
      <c r="J1133">
        <v>2448</v>
      </c>
      <c r="K1133">
        <v>4340.3999999999996</v>
      </c>
      <c r="L1133">
        <v>24337.41</v>
      </c>
      <c r="M1133">
        <v>6.14</v>
      </c>
      <c r="N1133">
        <v>17</v>
      </c>
      <c r="O1133">
        <v>0.3</v>
      </c>
      <c r="P1133">
        <v>1.77</v>
      </c>
      <c r="Q1133">
        <v>5.61</v>
      </c>
      <c r="R1133">
        <v>460.72</v>
      </c>
    </row>
    <row r="1134" spans="1:18" x14ac:dyDescent="0.3">
      <c r="A1134" t="s">
        <v>2296</v>
      </c>
      <c r="B1134" t="s">
        <v>2297</v>
      </c>
      <c r="C1134" t="s">
        <v>25</v>
      </c>
      <c r="D1134" t="s">
        <v>21</v>
      </c>
      <c r="E1134" t="s">
        <v>31</v>
      </c>
      <c r="F1134" s="1">
        <v>45318</v>
      </c>
      <c r="G1134" s="1">
        <v>45363</v>
      </c>
      <c r="H1134">
        <v>90969</v>
      </c>
      <c r="I1134">
        <v>927</v>
      </c>
      <c r="J1134">
        <v>79</v>
      </c>
      <c r="K1134">
        <v>5614.61</v>
      </c>
      <c r="L1134">
        <v>23829.56</v>
      </c>
      <c r="M1134">
        <v>1.02</v>
      </c>
      <c r="N1134">
        <v>8.6199999999999992</v>
      </c>
      <c r="O1134">
        <v>6.06</v>
      </c>
      <c r="P1134">
        <v>71.069999999999993</v>
      </c>
      <c r="Q1134">
        <v>4.24</v>
      </c>
      <c r="R1134">
        <v>324.42</v>
      </c>
    </row>
    <row r="1135" spans="1:18" x14ac:dyDescent="0.3">
      <c r="A1135" t="s">
        <v>2298</v>
      </c>
      <c r="B1135" t="s">
        <v>2299</v>
      </c>
      <c r="C1135" t="s">
        <v>37</v>
      </c>
      <c r="D1135" t="s">
        <v>57</v>
      </c>
      <c r="E1135" t="s">
        <v>26</v>
      </c>
      <c r="F1135" s="1">
        <v>45475</v>
      </c>
      <c r="G1135" s="1">
        <v>45486</v>
      </c>
      <c r="H1135">
        <v>167451</v>
      </c>
      <c r="I1135">
        <v>14953</v>
      </c>
      <c r="J1135">
        <v>1629</v>
      </c>
      <c r="K1135">
        <v>4226.67</v>
      </c>
      <c r="L1135">
        <v>15879.26</v>
      </c>
      <c r="M1135">
        <v>8.93</v>
      </c>
      <c r="N1135">
        <v>10.9</v>
      </c>
      <c r="O1135">
        <v>0.28000000000000003</v>
      </c>
      <c r="P1135">
        <v>2.59</v>
      </c>
      <c r="Q1135">
        <v>3.76</v>
      </c>
      <c r="R1135">
        <v>275.69</v>
      </c>
    </row>
    <row r="1136" spans="1:18" x14ac:dyDescent="0.3">
      <c r="A1136" t="s">
        <v>2300</v>
      </c>
      <c r="B1136" t="s">
        <v>2301</v>
      </c>
      <c r="C1136" t="s">
        <v>29</v>
      </c>
      <c r="D1136" t="s">
        <v>57</v>
      </c>
      <c r="E1136" t="s">
        <v>26</v>
      </c>
      <c r="F1136" s="1">
        <v>45496</v>
      </c>
      <c r="G1136" s="1">
        <v>45506</v>
      </c>
      <c r="H1136">
        <v>330191</v>
      </c>
      <c r="I1136">
        <v>10665</v>
      </c>
      <c r="J1136">
        <v>668</v>
      </c>
      <c r="K1136">
        <v>16977.14</v>
      </c>
      <c r="L1136">
        <v>72156.44</v>
      </c>
      <c r="M1136">
        <v>3.23</v>
      </c>
      <c r="N1136">
        <v>6.27</v>
      </c>
      <c r="O1136">
        <v>1.59</v>
      </c>
      <c r="P1136">
        <v>25.41</v>
      </c>
      <c r="Q1136">
        <v>4.25</v>
      </c>
      <c r="R1136">
        <v>325.02</v>
      </c>
    </row>
    <row r="1137" spans="1:18" x14ac:dyDescent="0.3">
      <c r="A1137" t="s">
        <v>2302</v>
      </c>
      <c r="B1137" t="s">
        <v>2303</v>
      </c>
      <c r="C1137" t="s">
        <v>37</v>
      </c>
      <c r="D1137" t="s">
        <v>21</v>
      </c>
      <c r="E1137" t="s">
        <v>31</v>
      </c>
      <c r="F1137" s="1">
        <v>45507</v>
      </c>
      <c r="G1137" s="1">
        <v>45530</v>
      </c>
      <c r="H1137">
        <v>296928</v>
      </c>
      <c r="I1137">
        <v>28564</v>
      </c>
      <c r="J1137">
        <v>5098</v>
      </c>
      <c r="K1137">
        <v>3439.54</v>
      </c>
      <c r="L1137">
        <v>7378.63</v>
      </c>
      <c r="M1137">
        <v>9.6199999999999992</v>
      </c>
      <c r="N1137">
        <v>17.850000000000001</v>
      </c>
      <c r="O1137">
        <v>0.12</v>
      </c>
      <c r="P1137">
        <v>0.67</v>
      </c>
      <c r="Q1137">
        <v>2.15</v>
      </c>
      <c r="R1137">
        <v>114.52</v>
      </c>
    </row>
    <row r="1138" spans="1:18" x14ac:dyDescent="0.3">
      <c r="A1138" t="s">
        <v>2304</v>
      </c>
      <c r="B1138" t="s">
        <v>2305</v>
      </c>
      <c r="C1138" t="s">
        <v>29</v>
      </c>
      <c r="D1138" t="s">
        <v>57</v>
      </c>
      <c r="E1138" t="s">
        <v>26</v>
      </c>
      <c r="F1138" s="1">
        <v>45323</v>
      </c>
      <c r="G1138" s="1">
        <v>45345</v>
      </c>
      <c r="H1138">
        <v>123027</v>
      </c>
      <c r="I1138">
        <v>2595</v>
      </c>
      <c r="J1138">
        <v>157</v>
      </c>
      <c r="K1138">
        <v>7944.14</v>
      </c>
      <c r="L1138">
        <v>42962.32</v>
      </c>
      <c r="M1138">
        <v>2.11</v>
      </c>
      <c r="N1138">
        <v>6.08</v>
      </c>
      <c r="O1138">
        <v>3.06</v>
      </c>
      <c r="P1138">
        <v>50.6</v>
      </c>
      <c r="Q1138">
        <v>5.41</v>
      </c>
      <c r="R1138">
        <v>440.81</v>
      </c>
    </row>
    <row r="1139" spans="1:18" x14ac:dyDescent="0.3">
      <c r="A1139" t="s">
        <v>2306</v>
      </c>
      <c r="B1139" t="s">
        <v>2307</v>
      </c>
      <c r="C1139" t="s">
        <v>25</v>
      </c>
      <c r="D1139" t="s">
        <v>21</v>
      </c>
      <c r="E1139" t="s">
        <v>31</v>
      </c>
      <c r="F1139" s="1">
        <v>45505</v>
      </c>
      <c r="G1139" s="1">
        <v>45550</v>
      </c>
      <c r="H1139">
        <v>369816</v>
      </c>
      <c r="I1139">
        <v>7396</v>
      </c>
      <c r="J1139">
        <v>766</v>
      </c>
      <c r="K1139">
        <v>4565.79</v>
      </c>
      <c r="L1139">
        <v>29288.41</v>
      </c>
      <c r="M1139">
        <v>2</v>
      </c>
      <c r="N1139">
        <v>10.36</v>
      </c>
      <c r="O1139">
        <v>0.62</v>
      </c>
      <c r="P1139">
        <v>5.96</v>
      </c>
      <c r="Q1139">
        <v>6.41</v>
      </c>
      <c r="R1139">
        <v>541.48</v>
      </c>
    </row>
    <row r="1140" spans="1:18" x14ac:dyDescent="0.3">
      <c r="A1140" t="s">
        <v>2308</v>
      </c>
      <c r="B1140" t="s">
        <v>2309</v>
      </c>
      <c r="C1140" t="s">
        <v>37</v>
      </c>
      <c r="D1140" t="s">
        <v>21</v>
      </c>
      <c r="E1140" t="s">
        <v>31</v>
      </c>
      <c r="F1140" s="1">
        <v>45551</v>
      </c>
      <c r="G1140" s="1">
        <v>45572</v>
      </c>
      <c r="H1140">
        <v>301014</v>
      </c>
      <c r="I1140">
        <v>29138</v>
      </c>
      <c r="J1140">
        <v>3120</v>
      </c>
      <c r="K1140">
        <v>687.83</v>
      </c>
      <c r="L1140">
        <v>1485.85</v>
      </c>
      <c r="M1140">
        <v>9.68</v>
      </c>
      <c r="N1140">
        <v>10.71</v>
      </c>
      <c r="O1140">
        <v>0.02</v>
      </c>
      <c r="P1140">
        <v>0.22</v>
      </c>
      <c r="Q1140">
        <v>2.16</v>
      </c>
      <c r="R1140">
        <v>116.02</v>
      </c>
    </row>
    <row r="1141" spans="1:18" x14ac:dyDescent="0.3">
      <c r="A1141" t="s">
        <v>2310</v>
      </c>
      <c r="B1141" t="s">
        <v>2311</v>
      </c>
      <c r="C1141" t="s">
        <v>44</v>
      </c>
      <c r="D1141" t="s">
        <v>30</v>
      </c>
      <c r="E1141" t="s">
        <v>38</v>
      </c>
      <c r="F1141" s="1">
        <v>45305</v>
      </c>
      <c r="G1141" s="1">
        <v>45324</v>
      </c>
      <c r="H1141">
        <v>209078</v>
      </c>
      <c r="I1141">
        <v>6753</v>
      </c>
      <c r="J1141">
        <v>308</v>
      </c>
      <c r="K1141">
        <v>5346.94</v>
      </c>
      <c r="L1141">
        <v>33100.82</v>
      </c>
      <c r="M1141">
        <v>3.23</v>
      </c>
      <c r="N1141">
        <v>4.57</v>
      </c>
      <c r="O1141">
        <v>0.79</v>
      </c>
      <c r="P1141">
        <v>17.36</v>
      </c>
      <c r="Q1141">
        <v>6.19</v>
      </c>
      <c r="R1141">
        <v>519.05999999999995</v>
      </c>
    </row>
    <row r="1142" spans="1:18" x14ac:dyDescent="0.3">
      <c r="A1142" t="s">
        <v>2312</v>
      </c>
      <c r="B1142" t="s">
        <v>2313</v>
      </c>
      <c r="C1142" t="s">
        <v>37</v>
      </c>
      <c r="D1142" t="s">
        <v>30</v>
      </c>
      <c r="E1142" t="s">
        <v>26</v>
      </c>
      <c r="F1142" s="1">
        <v>45510</v>
      </c>
      <c r="G1142" s="1">
        <v>45552</v>
      </c>
      <c r="H1142">
        <v>339667</v>
      </c>
      <c r="I1142">
        <v>23403</v>
      </c>
      <c r="J1142">
        <v>2777</v>
      </c>
      <c r="K1142">
        <v>2197.5300000000002</v>
      </c>
      <c r="L1142">
        <v>5633.52</v>
      </c>
      <c r="M1142">
        <v>6.89</v>
      </c>
      <c r="N1142">
        <v>11.87</v>
      </c>
      <c r="O1142">
        <v>0.09</v>
      </c>
      <c r="P1142">
        <v>0.79</v>
      </c>
      <c r="Q1142">
        <v>2.56</v>
      </c>
      <c r="R1142">
        <v>156.36000000000001</v>
      </c>
    </row>
    <row r="1143" spans="1:18" x14ac:dyDescent="0.3">
      <c r="A1143" t="s">
        <v>2314</v>
      </c>
      <c r="B1143" t="s">
        <v>2315</v>
      </c>
      <c r="C1143" t="s">
        <v>29</v>
      </c>
      <c r="D1143" t="s">
        <v>21</v>
      </c>
      <c r="E1143" t="s">
        <v>38</v>
      </c>
      <c r="F1143" s="1">
        <v>45515</v>
      </c>
      <c r="G1143" s="1">
        <v>45525</v>
      </c>
      <c r="H1143">
        <v>111862</v>
      </c>
      <c r="I1143">
        <v>4687</v>
      </c>
      <c r="J1143">
        <v>323</v>
      </c>
      <c r="K1143">
        <v>8515.6299999999992</v>
      </c>
      <c r="L1143">
        <v>24451.83</v>
      </c>
      <c r="M1143">
        <v>4.1900000000000004</v>
      </c>
      <c r="N1143">
        <v>6.91</v>
      </c>
      <c r="O1143">
        <v>1.82</v>
      </c>
      <c r="P1143">
        <v>26.36</v>
      </c>
      <c r="Q1143">
        <v>2.87</v>
      </c>
      <c r="R1143">
        <v>187.14</v>
      </c>
    </row>
    <row r="1144" spans="1:18" x14ac:dyDescent="0.3">
      <c r="A1144" t="s">
        <v>2316</v>
      </c>
      <c r="B1144" t="s">
        <v>2317</v>
      </c>
      <c r="C1144" t="s">
        <v>29</v>
      </c>
      <c r="D1144" t="s">
        <v>34</v>
      </c>
      <c r="E1144" t="s">
        <v>26</v>
      </c>
      <c r="F1144" s="1">
        <v>45566</v>
      </c>
      <c r="G1144" s="1">
        <v>45609</v>
      </c>
      <c r="H1144">
        <v>358605</v>
      </c>
      <c r="I1144">
        <v>5486</v>
      </c>
      <c r="J1144">
        <v>223</v>
      </c>
      <c r="K1144">
        <v>14288.54</v>
      </c>
      <c r="L1144">
        <v>80513.17</v>
      </c>
      <c r="M1144">
        <v>1.53</v>
      </c>
      <c r="N1144">
        <v>4.07</v>
      </c>
      <c r="O1144">
        <v>2.6</v>
      </c>
      <c r="P1144">
        <v>64.069999999999993</v>
      </c>
      <c r="Q1144">
        <v>5.63</v>
      </c>
      <c r="R1144">
        <v>463.48</v>
      </c>
    </row>
    <row r="1145" spans="1:18" x14ac:dyDescent="0.3">
      <c r="A1145" t="s">
        <v>2318</v>
      </c>
      <c r="B1145" t="s">
        <v>2319</v>
      </c>
      <c r="C1145" t="s">
        <v>20</v>
      </c>
      <c r="D1145" t="s">
        <v>21</v>
      </c>
      <c r="E1145" t="s">
        <v>41</v>
      </c>
      <c r="F1145" s="1">
        <v>45452</v>
      </c>
      <c r="G1145" s="1">
        <v>45481</v>
      </c>
      <c r="H1145">
        <v>476047</v>
      </c>
      <c r="I1145">
        <v>12996</v>
      </c>
      <c r="J1145">
        <v>564</v>
      </c>
      <c r="K1145">
        <v>13771.12</v>
      </c>
      <c r="L1145">
        <v>45054.720000000001</v>
      </c>
      <c r="M1145">
        <v>2.73</v>
      </c>
      <c r="N1145">
        <v>4.34</v>
      </c>
      <c r="O1145">
        <v>1.06</v>
      </c>
      <c r="P1145">
        <v>24.42</v>
      </c>
      <c r="Q1145">
        <v>3.27</v>
      </c>
      <c r="R1145">
        <v>227.17</v>
      </c>
    </row>
    <row r="1146" spans="1:18" x14ac:dyDescent="0.3">
      <c r="A1146" t="s">
        <v>2320</v>
      </c>
      <c r="B1146" t="s">
        <v>2321</v>
      </c>
      <c r="C1146" t="s">
        <v>37</v>
      </c>
      <c r="D1146" t="s">
        <v>34</v>
      </c>
      <c r="E1146" t="s">
        <v>22</v>
      </c>
      <c r="F1146" s="1">
        <v>45420</v>
      </c>
      <c r="G1146" s="1">
        <v>45461</v>
      </c>
      <c r="H1146">
        <v>118008</v>
      </c>
      <c r="I1146">
        <v>9015</v>
      </c>
      <c r="J1146">
        <v>1153</v>
      </c>
      <c r="K1146">
        <v>1050.69</v>
      </c>
      <c r="L1146">
        <v>2464.52</v>
      </c>
      <c r="M1146">
        <v>7.64</v>
      </c>
      <c r="N1146">
        <v>12.79</v>
      </c>
      <c r="O1146">
        <v>0.12</v>
      </c>
      <c r="P1146">
        <v>0.91</v>
      </c>
      <c r="Q1146">
        <v>2.35</v>
      </c>
      <c r="R1146">
        <v>134.56</v>
      </c>
    </row>
    <row r="1147" spans="1:18" x14ac:dyDescent="0.3">
      <c r="A1147" t="s">
        <v>2322</v>
      </c>
      <c r="B1147" t="s">
        <v>2323</v>
      </c>
      <c r="C1147" t="s">
        <v>29</v>
      </c>
      <c r="D1147" t="s">
        <v>30</v>
      </c>
      <c r="E1147" t="s">
        <v>22</v>
      </c>
      <c r="F1147" s="1">
        <v>45417</v>
      </c>
      <c r="G1147" s="1">
        <v>45457</v>
      </c>
      <c r="H1147">
        <v>165493</v>
      </c>
      <c r="I1147">
        <v>4683</v>
      </c>
      <c r="J1147">
        <v>164</v>
      </c>
      <c r="K1147">
        <v>8504</v>
      </c>
      <c r="L1147">
        <v>38109.199999999997</v>
      </c>
      <c r="M1147">
        <v>2.83</v>
      </c>
      <c r="N1147">
        <v>3.51</v>
      </c>
      <c r="O1147">
        <v>1.82</v>
      </c>
      <c r="P1147">
        <v>51.85</v>
      </c>
      <c r="Q1147">
        <v>4.4800000000000004</v>
      </c>
      <c r="R1147">
        <v>348.13</v>
      </c>
    </row>
    <row r="1148" spans="1:18" x14ac:dyDescent="0.3">
      <c r="A1148" t="s">
        <v>2324</v>
      </c>
      <c r="B1148" t="s">
        <v>2325</v>
      </c>
      <c r="C1148" t="s">
        <v>44</v>
      </c>
      <c r="D1148" t="s">
        <v>57</v>
      </c>
      <c r="E1148" t="s">
        <v>31</v>
      </c>
      <c r="F1148" s="1">
        <v>45540</v>
      </c>
      <c r="G1148" s="1">
        <v>45564</v>
      </c>
      <c r="H1148">
        <v>313950</v>
      </c>
      <c r="I1148">
        <v>4615</v>
      </c>
      <c r="J1148">
        <v>125</v>
      </c>
      <c r="K1148">
        <v>7635.42</v>
      </c>
      <c r="L1148">
        <v>47931.62</v>
      </c>
      <c r="M1148">
        <v>1.47</v>
      </c>
      <c r="N1148">
        <v>2.71</v>
      </c>
      <c r="O1148">
        <v>1.65</v>
      </c>
      <c r="P1148">
        <v>61.08</v>
      </c>
      <c r="Q1148">
        <v>6.28</v>
      </c>
      <c r="R1148">
        <v>527.75</v>
      </c>
    </row>
    <row r="1149" spans="1:18" x14ac:dyDescent="0.3">
      <c r="A1149" t="s">
        <v>2326</v>
      </c>
      <c r="B1149" t="s">
        <v>2327</v>
      </c>
      <c r="C1149" t="s">
        <v>20</v>
      </c>
      <c r="D1149" t="s">
        <v>34</v>
      </c>
      <c r="E1149" t="s">
        <v>41</v>
      </c>
      <c r="F1149" s="1">
        <v>45482</v>
      </c>
      <c r="G1149" s="1">
        <v>45498</v>
      </c>
      <c r="H1149">
        <v>491149</v>
      </c>
      <c r="I1149">
        <v>31433</v>
      </c>
      <c r="J1149">
        <v>1691</v>
      </c>
      <c r="K1149">
        <v>19838.169999999998</v>
      </c>
      <c r="L1149">
        <v>58492.12</v>
      </c>
      <c r="M1149">
        <v>6.4</v>
      </c>
      <c r="N1149">
        <v>5.38</v>
      </c>
      <c r="O1149">
        <v>0.63</v>
      </c>
      <c r="P1149">
        <v>11.73</v>
      </c>
      <c r="Q1149">
        <v>2.95</v>
      </c>
      <c r="R1149">
        <v>194.85</v>
      </c>
    </row>
    <row r="1150" spans="1:18" x14ac:dyDescent="0.3">
      <c r="A1150" t="s">
        <v>2328</v>
      </c>
      <c r="B1150" t="s">
        <v>2329</v>
      </c>
      <c r="C1150" t="s">
        <v>20</v>
      </c>
      <c r="D1150" t="s">
        <v>34</v>
      </c>
      <c r="E1150" t="s">
        <v>38</v>
      </c>
      <c r="F1150" s="1">
        <v>45430</v>
      </c>
      <c r="G1150" s="1">
        <v>45454</v>
      </c>
      <c r="H1150">
        <v>390739</v>
      </c>
      <c r="I1150">
        <v>21725</v>
      </c>
      <c r="J1150">
        <v>2111</v>
      </c>
      <c r="K1150">
        <v>5425.79</v>
      </c>
      <c r="L1150">
        <v>31271.34</v>
      </c>
      <c r="M1150">
        <v>5.56</v>
      </c>
      <c r="N1150">
        <v>9.7200000000000006</v>
      </c>
      <c r="O1150">
        <v>0.25</v>
      </c>
      <c r="P1150">
        <v>2.57</v>
      </c>
      <c r="Q1150">
        <v>5.76</v>
      </c>
      <c r="R1150">
        <v>476.35</v>
      </c>
    </row>
    <row r="1151" spans="1:18" x14ac:dyDescent="0.3">
      <c r="A1151" t="s">
        <v>2330</v>
      </c>
      <c r="B1151" t="s">
        <v>2331</v>
      </c>
      <c r="C1151" t="s">
        <v>37</v>
      </c>
      <c r="D1151" t="s">
        <v>30</v>
      </c>
      <c r="E1151" t="s">
        <v>22</v>
      </c>
      <c r="F1151" s="1">
        <v>45301</v>
      </c>
      <c r="G1151" s="1">
        <v>45332</v>
      </c>
      <c r="H1151">
        <v>483679</v>
      </c>
      <c r="I1151">
        <v>47352</v>
      </c>
      <c r="J1151">
        <v>4072</v>
      </c>
      <c r="K1151">
        <v>4345.58</v>
      </c>
      <c r="L1151">
        <v>16199.08</v>
      </c>
      <c r="M1151">
        <v>9.7899999999999991</v>
      </c>
      <c r="N1151">
        <v>8.6</v>
      </c>
      <c r="O1151">
        <v>0.09</v>
      </c>
      <c r="P1151">
        <v>1.07</v>
      </c>
      <c r="Q1151">
        <v>3.73</v>
      </c>
      <c r="R1151">
        <v>272.77</v>
      </c>
    </row>
    <row r="1152" spans="1:18" x14ac:dyDescent="0.3">
      <c r="A1152" t="s">
        <v>2332</v>
      </c>
      <c r="B1152" t="s">
        <v>2333</v>
      </c>
      <c r="C1152" t="s">
        <v>25</v>
      </c>
      <c r="D1152" t="s">
        <v>30</v>
      </c>
      <c r="E1152" t="s">
        <v>26</v>
      </c>
      <c r="F1152" s="1">
        <v>45448</v>
      </c>
      <c r="G1152" s="1">
        <v>45457</v>
      </c>
      <c r="H1152">
        <v>167675</v>
      </c>
      <c r="I1152">
        <v>1928</v>
      </c>
      <c r="J1152">
        <v>121</v>
      </c>
      <c r="K1152">
        <v>10897.36</v>
      </c>
      <c r="L1152">
        <v>24357.439999999999</v>
      </c>
      <c r="M1152">
        <v>1.1499999999999999</v>
      </c>
      <c r="N1152">
        <v>6.29</v>
      </c>
      <c r="O1152">
        <v>5.65</v>
      </c>
      <c r="P1152">
        <v>90.06</v>
      </c>
      <c r="Q1152">
        <v>2.2400000000000002</v>
      </c>
      <c r="R1152">
        <v>123.52</v>
      </c>
    </row>
    <row r="1153" spans="1:18" x14ac:dyDescent="0.3">
      <c r="A1153" t="s">
        <v>2334</v>
      </c>
      <c r="B1153" t="s">
        <v>2335</v>
      </c>
      <c r="C1153" t="s">
        <v>37</v>
      </c>
      <c r="D1153" t="s">
        <v>57</v>
      </c>
      <c r="E1153" t="s">
        <v>26</v>
      </c>
      <c r="F1153" s="1">
        <v>45594</v>
      </c>
      <c r="G1153" s="1">
        <v>45614</v>
      </c>
      <c r="H1153">
        <v>369154</v>
      </c>
      <c r="I1153">
        <v>31488</v>
      </c>
      <c r="J1153">
        <v>3577</v>
      </c>
      <c r="K1153">
        <v>4226.71</v>
      </c>
      <c r="L1153">
        <v>13446.84</v>
      </c>
      <c r="M1153">
        <v>8.5299999999999994</v>
      </c>
      <c r="N1153">
        <v>11.36</v>
      </c>
      <c r="O1153">
        <v>0.13</v>
      </c>
      <c r="P1153">
        <v>1.18</v>
      </c>
      <c r="Q1153">
        <v>3.18</v>
      </c>
      <c r="R1153">
        <v>218.14</v>
      </c>
    </row>
    <row r="1154" spans="1:18" x14ac:dyDescent="0.3">
      <c r="A1154" t="s">
        <v>2336</v>
      </c>
      <c r="B1154" t="s">
        <v>2337</v>
      </c>
      <c r="C1154" t="s">
        <v>20</v>
      </c>
      <c r="D1154" t="s">
        <v>57</v>
      </c>
      <c r="E1154" t="s">
        <v>31</v>
      </c>
      <c r="F1154" s="1">
        <v>45347</v>
      </c>
      <c r="G1154" s="1">
        <v>45389</v>
      </c>
      <c r="H1154">
        <v>277580</v>
      </c>
      <c r="I1154">
        <v>16543</v>
      </c>
      <c r="J1154">
        <v>1439</v>
      </c>
      <c r="K1154">
        <v>23571.33</v>
      </c>
      <c r="L1154">
        <v>126950.55</v>
      </c>
      <c r="M1154">
        <v>5.96</v>
      </c>
      <c r="N1154">
        <v>8.6999999999999993</v>
      </c>
      <c r="O1154">
        <v>1.42</v>
      </c>
      <c r="P1154">
        <v>16.38</v>
      </c>
      <c r="Q1154">
        <v>5.39</v>
      </c>
      <c r="R1154">
        <v>438.58</v>
      </c>
    </row>
    <row r="1155" spans="1:18" x14ac:dyDescent="0.3">
      <c r="A1155" t="s">
        <v>2338</v>
      </c>
      <c r="B1155" t="s">
        <v>2339</v>
      </c>
      <c r="C1155" t="s">
        <v>25</v>
      </c>
      <c r="D1155" t="s">
        <v>57</v>
      </c>
      <c r="E1155" t="s">
        <v>31</v>
      </c>
      <c r="F1155" s="1">
        <v>45487</v>
      </c>
      <c r="G1155" s="1">
        <v>45523</v>
      </c>
      <c r="H1155">
        <v>293008</v>
      </c>
      <c r="I1155">
        <v>4453</v>
      </c>
      <c r="J1155">
        <v>446</v>
      </c>
      <c r="K1155">
        <v>16304.2</v>
      </c>
      <c r="L1155">
        <v>51691.7</v>
      </c>
      <c r="M1155">
        <v>1.52</v>
      </c>
      <c r="N1155">
        <v>10.029999999999999</v>
      </c>
      <c r="O1155">
        <v>3.66</v>
      </c>
      <c r="P1155">
        <v>36.56</v>
      </c>
      <c r="Q1155">
        <v>3.17</v>
      </c>
      <c r="R1155">
        <v>217.05</v>
      </c>
    </row>
    <row r="1156" spans="1:18" x14ac:dyDescent="0.3">
      <c r="A1156" t="s">
        <v>2340</v>
      </c>
      <c r="B1156" t="s">
        <v>2341</v>
      </c>
      <c r="C1156" t="s">
        <v>29</v>
      </c>
      <c r="D1156" t="s">
        <v>34</v>
      </c>
      <c r="E1156" t="s">
        <v>26</v>
      </c>
      <c r="F1156" s="1">
        <v>45569</v>
      </c>
      <c r="G1156" s="1">
        <v>45594</v>
      </c>
      <c r="H1156">
        <v>197167</v>
      </c>
      <c r="I1156">
        <v>7689</v>
      </c>
      <c r="J1156">
        <v>519</v>
      </c>
      <c r="K1156">
        <v>4283.05</v>
      </c>
      <c r="L1156">
        <v>13383.23</v>
      </c>
      <c r="M1156">
        <v>3.9</v>
      </c>
      <c r="N1156">
        <v>6.75</v>
      </c>
      <c r="O1156">
        <v>0.56000000000000005</v>
      </c>
      <c r="P1156">
        <v>8.25</v>
      </c>
      <c r="Q1156">
        <v>3.12</v>
      </c>
      <c r="R1156">
        <v>212.47</v>
      </c>
    </row>
    <row r="1157" spans="1:18" x14ac:dyDescent="0.3">
      <c r="A1157" t="s">
        <v>2342</v>
      </c>
      <c r="B1157" t="s">
        <v>2343</v>
      </c>
      <c r="C1157" t="s">
        <v>44</v>
      </c>
      <c r="D1157" t="s">
        <v>30</v>
      </c>
      <c r="E1157" t="s">
        <v>26</v>
      </c>
      <c r="F1157" s="1">
        <v>45603</v>
      </c>
      <c r="G1157" s="1">
        <v>45610</v>
      </c>
      <c r="H1157">
        <v>372724</v>
      </c>
      <c r="I1157">
        <v>7119</v>
      </c>
      <c r="J1157">
        <v>173</v>
      </c>
      <c r="K1157">
        <v>5631.42</v>
      </c>
      <c r="L1157">
        <v>27811.56</v>
      </c>
      <c r="M1157">
        <v>1.91</v>
      </c>
      <c r="N1157">
        <v>2.44</v>
      </c>
      <c r="O1157">
        <v>0.79</v>
      </c>
      <c r="P1157">
        <v>32.549999999999997</v>
      </c>
      <c r="Q1157">
        <v>4.9400000000000004</v>
      </c>
      <c r="R1157">
        <v>393.86</v>
      </c>
    </row>
    <row r="1158" spans="1:18" x14ac:dyDescent="0.3">
      <c r="A1158" t="s">
        <v>2344</v>
      </c>
      <c r="B1158" t="s">
        <v>2345</v>
      </c>
      <c r="C1158" t="s">
        <v>20</v>
      </c>
      <c r="D1158" t="s">
        <v>57</v>
      </c>
      <c r="E1158" t="s">
        <v>31</v>
      </c>
      <c r="F1158" s="1">
        <v>45517</v>
      </c>
      <c r="G1158" s="1">
        <v>45524</v>
      </c>
      <c r="H1158">
        <v>396437</v>
      </c>
      <c r="I1158">
        <v>14985</v>
      </c>
      <c r="J1158">
        <v>837</v>
      </c>
      <c r="K1158">
        <v>8575.69</v>
      </c>
      <c r="L1158">
        <v>35008.19</v>
      </c>
      <c r="M1158">
        <v>3.78</v>
      </c>
      <c r="N1158">
        <v>5.59</v>
      </c>
      <c r="O1158">
        <v>0.56999999999999995</v>
      </c>
      <c r="P1158">
        <v>10.25</v>
      </c>
      <c r="Q1158">
        <v>4.08</v>
      </c>
      <c r="R1158">
        <v>308.23</v>
      </c>
    </row>
    <row r="1159" spans="1:18" x14ac:dyDescent="0.3">
      <c r="A1159" t="s">
        <v>2346</v>
      </c>
      <c r="B1159" t="s">
        <v>2347</v>
      </c>
      <c r="C1159" t="s">
        <v>25</v>
      </c>
      <c r="D1159" t="s">
        <v>21</v>
      </c>
      <c r="E1159" t="s">
        <v>22</v>
      </c>
      <c r="F1159" s="1">
        <v>45332</v>
      </c>
      <c r="G1159" s="1">
        <v>45356</v>
      </c>
      <c r="H1159">
        <v>301767</v>
      </c>
      <c r="I1159">
        <v>5673</v>
      </c>
      <c r="J1159">
        <v>504</v>
      </c>
      <c r="K1159">
        <v>10537.77</v>
      </c>
      <c r="L1159">
        <v>48558.74</v>
      </c>
      <c r="M1159">
        <v>1.88</v>
      </c>
      <c r="N1159">
        <v>8.9</v>
      </c>
      <c r="O1159">
        <v>1.86</v>
      </c>
      <c r="P1159">
        <v>20.91</v>
      </c>
      <c r="Q1159">
        <v>4.6100000000000003</v>
      </c>
      <c r="R1159">
        <v>360.81</v>
      </c>
    </row>
    <row r="1160" spans="1:18" x14ac:dyDescent="0.3">
      <c r="A1160" t="s">
        <v>2348</v>
      </c>
      <c r="B1160" t="s">
        <v>2349</v>
      </c>
      <c r="C1160" t="s">
        <v>37</v>
      </c>
      <c r="D1160" t="s">
        <v>57</v>
      </c>
      <c r="E1160" t="s">
        <v>26</v>
      </c>
      <c r="F1160" s="1">
        <v>45357</v>
      </c>
      <c r="G1160" s="1">
        <v>45378</v>
      </c>
      <c r="H1160">
        <v>280917</v>
      </c>
      <c r="I1160">
        <v>14270</v>
      </c>
      <c r="J1160">
        <v>2234</v>
      </c>
      <c r="K1160">
        <v>1742.65</v>
      </c>
      <c r="L1160">
        <v>10300.370000000001</v>
      </c>
      <c r="M1160">
        <v>5.08</v>
      </c>
      <c r="N1160">
        <v>15.66</v>
      </c>
      <c r="O1160">
        <v>0.12</v>
      </c>
      <c r="P1160">
        <v>0.78</v>
      </c>
      <c r="Q1160">
        <v>5.91</v>
      </c>
      <c r="R1160">
        <v>491.08</v>
      </c>
    </row>
    <row r="1161" spans="1:18" x14ac:dyDescent="0.3">
      <c r="A1161" t="s">
        <v>2350</v>
      </c>
      <c r="B1161" t="s">
        <v>2351</v>
      </c>
      <c r="C1161" t="s">
        <v>29</v>
      </c>
      <c r="D1161" t="s">
        <v>34</v>
      </c>
      <c r="E1161" t="s">
        <v>31</v>
      </c>
      <c r="F1161" s="1">
        <v>45517</v>
      </c>
      <c r="G1161" s="1">
        <v>45561</v>
      </c>
      <c r="H1161">
        <v>393921</v>
      </c>
      <c r="I1161">
        <v>6499</v>
      </c>
      <c r="J1161">
        <v>167</v>
      </c>
      <c r="K1161">
        <v>3577.53</v>
      </c>
      <c r="L1161">
        <v>18173.8</v>
      </c>
      <c r="M1161">
        <v>1.65</v>
      </c>
      <c r="N1161">
        <v>2.57</v>
      </c>
      <c r="O1161">
        <v>0.55000000000000004</v>
      </c>
      <c r="P1161">
        <v>21.42</v>
      </c>
      <c r="Q1161">
        <v>5.08</v>
      </c>
      <c r="R1161">
        <v>408</v>
      </c>
    </row>
    <row r="1162" spans="1:18" x14ac:dyDescent="0.3">
      <c r="A1162" t="s">
        <v>2352</v>
      </c>
      <c r="B1162" t="s">
        <v>2353</v>
      </c>
      <c r="C1162" t="s">
        <v>44</v>
      </c>
      <c r="D1162" t="s">
        <v>21</v>
      </c>
      <c r="E1162" t="s">
        <v>31</v>
      </c>
      <c r="F1162" s="1">
        <v>45300</v>
      </c>
      <c r="G1162" s="1">
        <v>45329</v>
      </c>
      <c r="H1162">
        <v>426102</v>
      </c>
      <c r="I1162">
        <v>7627</v>
      </c>
      <c r="J1162">
        <v>368</v>
      </c>
      <c r="K1162">
        <v>14899.64</v>
      </c>
      <c r="L1162">
        <v>95190.38</v>
      </c>
      <c r="M1162">
        <v>1.79</v>
      </c>
      <c r="N1162">
        <v>4.83</v>
      </c>
      <c r="O1162">
        <v>1.95</v>
      </c>
      <c r="P1162">
        <v>40.49</v>
      </c>
      <c r="Q1162">
        <v>6.39</v>
      </c>
      <c r="R1162">
        <v>538.88</v>
      </c>
    </row>
    <row r="1163" spans="1:18" x14ac:dyDescent="0.3">
      <c r="A1163" t="s">
        <v>2354</v>
      </c>
      <c r="B1163" t="s">
        <v>2355</v>
      </c>
      <c r="C1163" t="s">
        <v>37</v>
      </c>
      <c r="D1163" t="s">
        <v>21</v>
      </c>
      <c r="E1163" t="s">
        <v>31</v>
      </c>
      <c r="F1163" s="1">
        <v>45413</v>
      </c>
      <c r="G1163" s="1">
        <v>45433</v>
      </c>
      <c r="H1163">
        <v>173048</v>
      </c>
      <c r="I1163">
        <v>10555</v>
      </c>
      <c r="J1163">
        <v>925</v>
      </c>
      <c r="K1163">
        <v>2497.16</v>
      </c>
      <c r="L1163">
        <v>10736.94</v>
      </c>
      <c r="M1163">
        <v>6.1</v>
      </c>
      <c r="N1163">
        <v>8.77</v>
      </c>
      <c r="O1163">
        <v>0.24</v>
      </c>
      <c r="P1163">
        <v>2.7</v>
      </c>
      <c r="Q1163">
        <v>4.3</v>
      </c>
      <c r="R1163">
        <v>329.97</v>
      </c>
    </row>
    <row r="1164" spans="1:18" x14ac:dyDescent="0.3">
      <c r="A1164" t="s">
        <v>2356</v>
      </c>
      <c r="B1164" t="s">
        <v>2357</v>
      </c>
      <c r="C1164" t="s">
        <v>44</v>
      </c>
      <c r="D1164" t="s">
        <v>57</v>
      </c>
      <c r="E1164" t="s">
        <v>38</v>
      </c>
      <c r="F1164" s="1">
        <v>45476</v>
      </c>
      <c r="G1164" s="1">
        <v>45504</v>
      </c>
      <c r="H1164">
        <v>87430</v>
      </c>
      <c r="I1164">
        <v>2509</v>
      </c>
      <c r="J1164">
        <v>114</v>
      </c>
      <c r="K1164">
        <v>4288.49</v>
      </c>
      <c r="L1164">
        <v>14878.63</v>
      </c>
      <c r="M1164">
        <v>2.87</v>
      </c>
      <c r="N1164">
        <v>4.57</v>
      </c>
      <c r="O1164">
        <v>1.71</v>
      </c>
      <c r="P1164">
        <v>37.619999999999997</v>
      </c>
      <c r="Q1164">
        <v>3.47</v>
      </c>
      <c r="R1164">
        <v>246.94</v>
      </c>
    </row>
    <row r="1165" spans="1:18" x14ac:dyDescent="0.3">
      <c r="A1165" t="s">
        <v>2358</v>
      </c>
      <c r="B1165" t="s">
        <v>2359</v>
      </c>
      <c r="C1165" t="s">
        <v>25</v>
      </c>
      <c r="D1165" t="s">
        <v>57</v>
      </c>
      <c r="E1165" t="s">
        <v>38</v>
      </c>
      <c r="F1165" s="1">
        <v>45594</v>
      </c>
      <c r="G1165" s="1">
        <v>45602</v>
      </c>
      <c r="H1165">
        <v>204173</v>
      </c>
      <c r="I1165">
        <v>3797</v>
      </c>
      <c r="J1165">
        <v>232</v>
      </c>
      <c r="K1165">
        <v>4713.7700000000004</v>
      </c>
      <c r="L1165">
        <v>29161.21</v>
      </c>
      <c r="M1165">
        <v>1.86</v>
      </c>
      <c r="N1165">
        <v>6.12</v>
      </c>
      <c r="O1165">
        <v>1.24</v>
      </c>
      <c r="P1165">
        <v>20.32</v>
      </c>
      <c r="Q1165">
        <v>6.19</v>
      </c>
      <c r="R1165">
        <v>518.64</v>
      </c>
    </row>
    <row r="1166" spans="1:18" x14ac:dyDescent="0.3">
      <c r="A1166" t="s">
        <v>2360</v>
      </c>
      <c r="B1166" t="s">
        <v>2361</v>
      </c>
      <c r="C1166" t="s">
        <v>20</v>
      </c>
      <c r="D1166" t="s">
        <v>34</v>
      </c>
      <c r="E1166" t="s">
        <v>22</v>
      </c>
      <c r="F1166" s="1">
        <v>45402</v>
      </c>
      <c r="G1166" s="1">
        <v>45433</v>
      </c>
      <c r="H1166">
        <v>317804</v>
      </c>
      <c r="I1166">
        <v>17034</v>
      </c>
      <c r="J1166">
        <v>1439</v>
      </c>
      <c r="K1166">
        <v>20669.34</v>
      </c>
      <c r="L1166">
        <v>107641.4</v>
      </c>
      <c r="M1166">
        <v>5.36</v>
      </c>
      <c r="N1166">
        <v>8.4499999999999993</v>
      </c>
      <c r="O1166">
        <v>1.21</v>
      </c>
      <c r="P1166">
        <v>14.36</v>
      </c>
      <c r="Q1166">
        <v>5.21</v>
      </c>
      <c r="R1166">
        <v>420.78</v>
      </c>
    </row>
    <row r="1167" spans="1:18" x14ac:dyDescent="0.3">
      <c r="A1167" t="s">
        <v>2362</v>
      </c>
      <c r="B1167" t="s">
        <v>2363</v>
      </c>
      <c r="C1167" t="s">
        <v>37</v>
      </c>
      <c r="D1167" t="s">
        <v>21</v>
      </c>
      <c r="E1167" t="s">
        <v>41</v>
      </c>
      <c r="F1167" s="1">
        <v>45406</v>
      </c>
      <c r="G1167" s="1">
        <v>45449</v>
      </c>
      <c r="H1167">
        <v>249800</v>
      </c>
      <c r="I1167">
        <v>21432</v>
      </c>
      <c r="J1167">
        <v>3105</v>
      </c>
      <c r="K1167">
        <v>4798.3100000000004</v>
      </c>
      <c r="L1167">
        <v>30295.63</v>
      </c>
      <c r="M1167">
        <v>8.58</v>
      </c>
      <c r="N1167">
        <v>14.49</v>
      </c>
      <c r="O1167">
        <v>0.22</v>
      </c>
      <c r="P1167">
        <v>1.55</v>
      </c>
      <c r="Q1167">
        <v>6.31</v>
      </c>
      <c r="R1167">
        <v>531.38</v>
      </c>
    </row>
    <row r="1168" spans="1:18" x14ac:dyDescent="0.3">
      <c r="A1168" t="s">
        <v>2364</v>
      </c>
      <c r="B1168" t="s">
        <v>2365</v>
      </c>
      <c r="C1168" t="s">
        <v>37</v>
      </c>
      <c r="D1168" t="s">
        <v>30</v>
      </c>
      <c r="E1168" t="s">
        <v>31</v>
      </c>
      <c r="F1168" s="1">
        <v>45560</v>
      </c>
      <c r="G1168" s="1">
        <v>45600</v>
      </c>
      <c r="H1168">
        <v>434327</v>
      </c>
      <c r="I1168">
        <v>20543</v>
      </c>
      <c r="J1168">
        <v>3447</v>
      </c>
      <c r="K1168">
        <v>4091.92</v>
      </c>
      <c r="L1168">
        <v>19362.8</v>
      </c>
      <c r="M1168">
        <v>4.7300000000000004</v>
      </c>
      <c r="N1168">
        <v>16.78</v>
      </c>
      <c r="O1168">
        <v>0.2</v>
      </c>
      <c r="P1168">
        <v>1.19</v>
      </c>
      <c r="Q1168">
        <v>4.7300000000000004</v>
      </c>
      <c r="R1168">
        <v>373.2</v>
      </c>
    </row>
    <row r="1169" spans="1:18" x14ac:dyDescent="0.3">
      <c r="A1169" t="s">
        <v>2366</v>
      </c>
      <c r="B1169" t="s">
        <v>2367</v>
      </c>
      <c r="C1169" t="s">
        <v>25</v>
      </c>
      <c r="D1169" t="s">
        <v>57</v>
      </c>
      <c r="E1169" t="s">
        <v>22</v>
      </c>
      <c r="F1169" s="1">
        <v>45477</v>
      </c>
      <c r="G1169" s="1">
        <v>45498</v>
      </c>
      <c r="H1169">
        <v>152248</v>
      </c>
      <c r="I1169">
        <v>3379</v>
      </c>
      <c r="J1169">
        <v>238</v>
      </c>
      <c r="K1169">
        <v>7904.46</v>
      </c>
      <c r="L1169">
        <v>24455.06</v>
      </c>
      <c r="M1169">
        <v>2.2200000000000002</v>
      </c>
      <c r="N1169">
        <v>7.05</v>
      </c>
      <c r="O1169">
        <v>2.34</v>
      </c>
      <c r="P1169">
        <v>33.21</v>
      </c>
      <c r="Q1169">
        <v>3.09</v>
      </c>
      <c r="R1169">
        <v>209.38</v>
      </c>
    </row>
    <row r="1170" spans="1:18" x14ac:dyDescent="0.3">
      <c r="A1170" t="s">
        <v>2368</v>
      </c>
      <c r="B1170" t="s">
        <v>2369</v>
      </c>
      <c r="C1170" t="s">
        <v>25</v>
      </c>
      <c r="D1170" t="s">
        <v>57</v>
      </c>
      <c r="E1170" t="s">
        <v>26</v>
      </c>
      <c r="F1170" s="1">
        <v>45472</v>
      </c>
      <c r="G1170" s="1">
        <v>45514</v>
      </c>
      <c r="H1170">
        <v>413369</v>
      </c>
      <c r="I1170">
        <v>5001</v>
      </c>
      <c r="J1170">
        <v>506</v>
      </c>
      <c r="K1170">
        <v>18083.63</v>
      </c>
      <c r="L1170">
        <v>65615.820000000007</v>
      </c>
      <c r="M1170">
        <v>1.21</v>
      </c>
      <c r="N1170">
        <v>10.130000000000001</v>
      </c>
      <c r="O1170">
        <v>3.62</v>
      </c>
      <c r="P1170">
        <v>35.74</v>
      </c>
      <c r="Q1170">
        <v>3.63</v>
      </c>
      <c r="R1170">
        <v>262.85000000000002</v>
      </c>
    </row>
    <row r="1171" spans="1:18" x14ac:dyDescent="0.3">
      <c r="A1171" t="s">
        <v>2370</v>
      </c>
      <c r="B1171" t="s">
        <v>2371</v>
      </c>
      <c r="C1171" t="s">
        <v>37</v>
      </c>
      <c r="D1171" t="s">
        <v>21</v>
      </c>
      <c r="E1171" t="s">
        <v>22</v>
      </c>
      <c r="F1171" s="1">
        <v>45356</v>
      </c>
      <c r="G1171" s="1">
        <v>45397</v>
      </c>
      <c r="H1171">
        <v>392533</v>
      </c>
      <c r="I1171">
        <v>27084</v>
      </c>
      <c r="J1171">
        <v>2789</v>
      </c>
      <c r="K1171">
        <v>4038.37</v>
      </c>
      <c r="L1171">
        <v>12252.15</v>
      </c>
      <c r="M1171">
        <v>6.9</v>
      </c>
      <c r="N1171">
        <v>10.3</v>
      </c>
      <c r="O1171">
        <v>0.15</v>
      </c>
      <c r="P1171">
        <v>1.45</v>
      </c>
      <c r="Q1171">
        <v>3.03</v>
      </c>
      <c r="R1171">
        <v>203.39</v>
      </c>
    </row>
    <row r="1172" spans="1:18" x14ac:dyDescent="0.3">
      <c r="A1172" t="s">
        <v>2372</v>
      </c>
      <c r="B1172" t="s">
        <v>2373</v>
      </c>
      <c r="C1172" t="s">
        <v>29</v>
      </c>
      <c r="D1172" t="s">
        <v>30</v>
      </c>
      <c r="E1172" t="s">
        <v>31</v>
      </c>
      <c r="F1172" s="1">
        <v>45333</v>
      </c>
      <c r="G1172" s="1">
        <v>45366</v>
      </c>
      <c r="H1172">
        <v>399124</v>
      </c>
      <c r="I1172">
        <v>7623</v>
      </c>
      <c r="J1172">
        <v>251</v>
      </c>
      <c r="K1172">
        <v>7303.28</v>
      </c>
      <c r="L1172">
        <v>24920.98</v>
      </c>
      <c r="M1172">
        <v>1.91</v>
      </c>
      <c r="N1172">
        <v>3.3</v>
      </c>
      <c r="O1172">
        <v>0.96</v>
      </c>
      <c r="P1172">
        <v>29.1</v>
      </c>
      <c r="Q1172">
        <v>3.41</v>
      </c>
      <c r="R1172">
        <v>241.23</v>
      </c>
    </row>
    <row r="1173" spans="1:18" x14ac:dyDescent="0.3">
      <c r="A1173" t="s">
        <v>2374</v>
      </c>
      <c r="B1173" t="s">
        <v>2375</v>
      </c>
      <c r="C1173" t="s">
        <v>25</v>
      </c>
      <c r="D1173" t="s">
        <v>34</v>
      </c>
      <c r="E1173" t="s">
        <v>31</v>
      </c>
      <c r="F1173" s="1">
        <v>45299</v>
      </c>
      <c r="G1173" s="1">
        <v>45316</v>
      </c>
      <c r="H1173">
        <v>309103</v>
      </c>
      <c r="I1173">
        <v>5811</v>
      </c>
      <c r="J1173">
        <v>604</v>
      </c>
      <c r="K1173">
        <v>18397.96</v>
      </c>
      <c r="L1173">
        <v>109354.27</v>
      </c>
      <c r="M1173">
        <v>1.88</v>
      </c>
      <c r="N1173">
        <v>10.41</v>
      </c>
      <c r="O1173">
        <v>3.17</v>
      </c>
      <c r="P1173">
        <v>30.46</v>
      </c>
      <c r="Q1173">
        <v>5.94</v>
      </c>
      <c r="R1173">
        <v>494.38</v>
      </c>
    </row>
    <row r="1174" spans="1:18" x14ac:dyDescent="0.3">
      <c r="A1174" t="s">
        <v>2376</v>
      </c>
      <c r="B1174" t="s">
        <v>2377</v>
      </c>
      <c r="C1174" t="s">
        <v>20</v>
      </c>
      <c r="D1174" t="s">
        <v>30</v>
      </c>
      <c r="E1174" t="s">
        <v>22</v>
      </c>
      <c r="F1174" s="1">
        <v>45309</v>
      </c>
      <c r="G1174" s="1">
        <v>45343</v>
      </c>
      <c r="H1174">
        <v>451347</v>
      </c>
      <c r="I1174">
        <v>21303</v>
      </c>
      <c r="J1174">
        <v>2040</v>
      </c>
      <c r="K1174">
        <v>19857.080000000002</v>
      </c>
      <c r="L1174">
        <v>51008.68</v>
      </c>
      <c r="M1174">
        <v>4.72</v>
      </c>
      <c r="N1174">
        <v>9.58</v>
      </c>
      <c r="O1174">
        <v>0.93</v>
      </c>
      <c r="P1174">
        <v>9.73</v>
      </c>
      <c r="Q1174">
        <v>2.57</v>
      </c>
      <c r="R1174">
        <v>156.88</v>
      </c>
    </row>
    <row r="1175" spans="1:18" x14ac:dyDescent="0.3">
      <c r="A1175" t="s">
        <v>2378</v>
      </c>
      <c r="B1175" t="s">
        <v>2379</v>
      </c>
      <c r="C1175" t="s">
        <v>20</v>
      </c>
      <c r="D1175" t="s">
        <v>34</v>
      </c>
      <c r="E1175" t="s">
        <v>26</v>
      </c>
      <c r="F1175" s="1">
        <v>45357</v>
      </c>
      <c r="G1175" s="1">
        <v>45389</v>
      </c>
      <c r="H1175">
        <v>119404</v>
      </c>
      <c r="I1175">
        <v>5444</v>
      </c>
      <c r="J1175">
        <v>390</v>
      </c>
      <c r="K1175">
        <v>12762.28</v>
      </c>
      <c r="L1175">
        <v>49780.73</v>
      </c>
      <c r="M1175">
        <v>4.5599999999999996</v>
      </c>
      <c r="N1175">
        <v>7.18</v>
      </c>
      <c r="O1175">
        <v>2.34</v>
      </c>
      <c r="P1175">
        <v>32.72</v>
      </c>
      <c r="Q1175">
        <v>3.9</v>
      </c>
      <c r="R1175">
        <v>290.06</v>
      </c>
    </row>
    <row r="1176" spans="1:18" x14ac:dyDescent="0.3">
      <c r="A1176" t="s">
        <v>2380</v>
      </c>
      <c r="B1176" t="s">
        <v>2381</v>
      </c>
      <c r="C1176" t="s">
        <v>37</v>
      </c>
      <c r="D1176" t="s">
        <v>34</v>
      </c>
      <c r="E1176" t="s">
        <v>22</v>
      </c>
      <c r="F1176" s="1">
        <v>45347</v>
      </c>
      <c r="G1176" s="1">
        <v>45356</v>
      </c>
      <c r="H1176">
        <v>112405</v>
      </c>
      <c r="I1176">
        <v>6766</v>
      </c>
      <c r="J1176">
        <v>1099</v>
      </c>
      <c r="K1176">
        <v>2014.88</v>
      </c>
      <c r="L1176">
        <v>9549.34</v>
      </c>
      <c r="M1176">
        <v>6.02</v>
      </c>
      <c r="N1176">
        <v>16.25</v>
      </c>
      <c r="O1176">
        <v>0.3</v>
      </c>
      <c r="P1176">
        <v>1.83</v>
      </c>
      <c r="Q1176">
        <v>4.74</v>
      </c>
      <c r="R1176">
        <v>373.94</v>
      </c>
    </row>
    <row r="1177" spans="1:18" x14ac:dyDescent="0.3">
      <c r="A1177" t="s">
        <v>2382</v>
      </c>
      <c r="B1177" t="s">
        <v>2383</v>
      </c>
      <c r="C1177" t="s">
        <v>20</v>
      </c>
      <c r="D1177" t="s">
        <v>57</v>
      </c>
      <c r="E1177" t="s">
        <v>38</v>
      </c>
      <c r="F1177" s="1">
        <v>45360</v>
      </c>
      <c r="G1177" s="1">
        <v>45378</v>
      </c>
      <c r="H1177">
        <v>264368</v>
      </c>
      <c r="I1177">
        <v>13271</v>
      </c>
      <c r="J1177">
        <v>1120</v>
      </c>
      <c r="K1177">
        <v>13713.8</v>
      </c>
      <c r="L1177">
        <v>74184.39</v>
      </c>
      <c r="M1177">
        <v>5.0199999999999996</v>
      </c>
      <c r="N1177">
        <v>8.44</v>
      </c>
      <c r="O1177">
        <v>1.03</v>
      </c>
      <c r="P1177">
        <v>12.24</v>
      </c>
      <c r="Q1177">
        <v>5.41</v>
      </c>
      <c r="R1177">
        <v>440.95</v>
      </c>
    </row>
    <row r="1178" spans="1:18" x14ac:dyDescent="0.3">
      <c r="A1178" t="s">
        <v>2384</v>
      </c>
      <c r="B1178" t="s">
        <v>2385</v>
      </c>
      <c r="C1178" t="s">
        <v>37</v>
      </c>
      <c r="D1178" t="s">
        <v>21</v>
      </c>
      <c r="E1178" t="s">
        <v>41</v>
      </c>
      <c r="F1178" s="1">
        <v>45516</v>
      </c>
      <c r="G1178" s="1">
        <v>45534</v>
      </c>
      <c r="H1178">
        <v>54080</v>
      </c>
      <c r="I1178">
        <v>4088</v>
      </c>
      <c r="J1178">
        <v>478</v>
      </c>
      <c r="K1178">
        <v>3422.32</v>
      </c>
      <c r="L1178">
        <v>12687.18</v>
      </c>
      <c r="M1178">
        <v>7.56</v>
      </c>
      <c r="N1178">
        <v>11.7</v>
      </c>
      <c r="O1178">
        <v>0.84</v>
      </c>
      <c r="P1178">
        <v>7.16</v>
      </c>
      <c r="Q1178">
        <v>3.71</v>
      </c>
      <c r="R1178">
        <v>270.72000000000003</v>
      </c>
    </row>
    <row r="1179" spans="1:18" x14ac:dyDescent="0.3">
      <c r="A1179" t="s">
        <v>2386</v>
      </c>
      <c r="B1179" t="s">
        <v>2387</v>
      </c>
      <c r="C1179" t="s">
        <v>37</v>
      </c>
      <c r="D1179" t="s">
        <v>57</v>
      </c>
      <c r="E1179" t="s">
        <v>26</v>
      </c>
      <c r="F1179" s="1">
        <v>45588</v>
      </c>
      <c r="G1179" s="1">
        <v>45627</v>
      </c>
      <c r="H1179">
        <v>171772</v>
      </c>
      <c r="I1179">
        <v>9928</v>
      </c>
      <c r="J1179">
        <v>1132</v>
      </c>
      <c r="K1179">
        <v>3038.59</v>
      </c>
      <c r="L1179">
        <v>18346.57</v>
      </c>
      <c r="M1179">
        <v>5.78</v>
      </c>
      <c r="N1179">
        <v>11.41</v>
      </c>
      <c r="O1179">
        <v>0.31</v>
      </c>
      <c r="P1179">
        <v>2.68</v>
      </c>
      <c r="Q1179">
        <v>6.04</v>
      </c>
      <c r="R1179">
        <v>503.79</v>
      </c>
    </row>
    <row r="1180" spans="1:18" x14ac:dyDescent="0.3">
      <c r="A1180" t="s">
        <v>2388</v>
      </c>
      <c r="B1180" t="s">
        <v>2389</v>
      </c>
      <c r="C1180" t="s">
        <v>25</v>
      </c>
      <c r="D1180" t="s">
        <v>57</v>
      </c>
      <c r="E1180" t="s">
        <v>22</v>
      </c>
      <c r="F1180" s="1">
        <v>45399</v>
      </c>
      <c r="G1180" s="1">
        <v>45433</v>
      </c>
      <c r="H1180">
        <v>251362</v>
      </c>
      <c r="I1180">
        <v>3368</v>
      </c>
      <c r="J1180">
        <v>210</v>
      </c>
      <c r="K1180">
        <v>6291.14</v>
      </c>
      <c r="L1180">
        <v>35626.36</v>
      </c>
      <c r="M1180">
        <v>1.34</v>
      </c>
      <c r="N1180">
        <v>6.25</v>
      </c>
      <c r="O1180">
        <v>1.87</v>
      </c>
      <c r="P1180">
        <v>29.96</v>
      </c>
      <c r="Q1180">
        <v>5.66</v>
      </c>
      <c r="R1180">
        <v>466.29</v>
      </c>
    </row>
    <row r="1181" spans="1:18" x14ac:dyDescent="0.3">
      <c r="A1181" t="s">
        <v>2390</v>
      </c>
      <c r="B1181" t="s">
        <v>2391</v>
      </c>
      <c r="C1181" t="s">
        <v>37</v>
      </c>
      <c r="D1181" t="s">
        <v>57</v>
      </c>
      <c r="E1181" t="s">
        <v>31</v>
      </c>
      <c r="F1181" s="1">
        <v>45541</v>
      </c>
      <c r="G1181" s="1">
        <v>45576</v>
      </c>
      <c r="H1181">
        <v>372687</v>
      </c>
      <c r="I1181">
        <v>21951</v>
      </c>
      <c r="J1181">
        <v>2517</v>
      </c>
      <c r="K1181">
        <v>1245.17</v>
      </c>
      <c r="L1181">
        <v>4103.2</v>
      </c>
      <c r="M1181">
        <v>5.89</v>
      </c>
      <c r="N1181">
        <v>11.47</v>
      </c>
      <c r="O1181">
        <v>0.06</v>
      </c>
      <c r="P1181">
        <v>0.49</v>
      </c>
      <c r="Q1181">
        <v>3.3</v>
      </c>
      <c r="R1181">
        <v>229.53</v>
      </c>
    </row>
    <row r="1182" spans="1:18" x14ac:dyDescent="0.3">
      <c r="A1182" t="s">
        <v>2392</v>
      </c>
      <c r="B1182" t="s">
        <v>2393</v>
      </c>
      <c r="C1182" t="s">
        <v>29</v>
      </c>
      <c r="D1182" t="s">
        <v>34</v>
      </c>
      <c r="E1182" t="s">
        <v>22</v>
      </c>
      <c r="F1182" s="1">
        <v>45364</v>
      </c>
      <c r="G1182" s="1">
        <v>45377</v>
      </c>
      <c r="H1182">
        <v>186015</v>
      </c>
      <c r="I1182">
        <v>8314</v>
      </c>
      <c r="J1182">
        <v>479</v>
      </c>
      <c r="K1182">
        <v>16867.740000000002</v>
      </c>
      <c r="L1182">
        <v>84321.01</v>
      </c>
      <c r="M1182">
        <v>4.47</v>
      </c>
      <c r="N1182">
        <v>5.77</v>
      </c>
      <c r="O1182">
        <v>2.0299999999999998</v>
      </c>
      <c r="P1182">
        <v>35.21</v>
      </c>
      <c r="Q1182">
        <v>5</v>
      </c>
      <c r="R1182">
        <v>399.9</v>
      </c>
    </row>
    <row r="1183" spans="1:18" x14ac:dyDescent="0.3">
      <c r="A1183" t="s">
        <v>2394</v>
      </c>
      <c r="B1183" t="s">
        <v>2395</v>
      </c>
      <c r="C1183" t="s">
        <v>29</v>
      </c>
      <c r="D1183" t="s">
        <v>34</v>
      </c>
      <c r="E1183" t="s">
        <v>26</v>
      </c>
      <c r="F1183" s="1">
        <v>45295</v>
      </c>
      <c r="G1183" s="1">
        <v>45333</v>
      </c>
      <c r="H1183">
        <v>363729</v>
      </c>
      <c r="I1183">
        <v>15312</v>
      </c>
      <c r="J1183">
        <v>1041</v>
      </c>
      <c r="K1183">
        <v>11097.45</v>
      </c>
      <c r="L1183">
        <v>62095.38</v>
      </c>
      <c r="M1183">
        <v>4.21</v>
      </c>
      <c r="N1183">
        <v>6.8</v>
      </c>
      <c r="O1183">
        <v>0.72</v>
      </c>
      <c r="P1183">
        <v>10.66</v>
      </c>
      <c r="Q1183">
        <v>5.6</v>
      </c>
      <c r="R1183">
        <v>459.55</v>
      </c>
    </row>
    <row r="1184" spans="1:18" x14ac:dyDescent="0.3">
      <c r="A1184" t="s">
        <v>2396</v>
      </c>
      <c r="B1184" t="s">
        <v>2397</v>
      </c>
      <c r="C1184" t="s">
        <v>20</v>
      </c>
      <c r="D1184" t="s">
        <v>57</v>
      </c>
      <c r="E1184" t="s">
        <v>41</v>
      </c>
      <c r="F1184" s="1">
        <v>45524</v>
      </c>
      <c r="G1184" s="1">
        <v>45549</v>
      </c>
      <c r="H1184">
        <v>197764</v>
      </c>
      <c r="I1184">
        <v>12399</v>
      </c>
      <c r="J1184">
        <v>921</v>
      </c>
      <c r="K1184">
        <v>19641.79</v>
      </c>
      <c r="L1184">
        <v>85324.38</v>
      </c>
      <c r="M1184">
        <v>6.27</v>
      </c>
      <c r="N1184">
        <v>7.43</v>
      </c>
      <c r="O1184">
        <v>1.58</v>
      </c>
      <c r="P1184">
        <v>21.33</v>
      </c>
      <c r="Q1184">
        <v>4.34</v>
      </c>
      <c r="R1184">
        <v>334.4</v>
      </c>
    </row>
    <row r="1185" spans="1:18" x14ac:dyDescent="0.3">
      <c r="A1185" t="s">
        <v>2398</v>
      </c>
      <c r="B1185" t="s">
        <v>2399</v>
      </c>
      <c r="C1185" t="s">
        <v>20</v>
      </c>
      <c r="D1185" t="s">
        <v>21</v>
      </c>
      <c r="E1185" t="s">
        <v>38</v>
      </c>
      <c r="F1185" s="1">
        <v>45351</v>
      </c>
      <c r="G1185" s="1">
        <v>45380</v>
      </c>
      <c r="H1185">
        <v>276631</v>
      </c>
      <c r="I1185">
        <v>12365</v>
      </c>
      <c r="J1185">
        <v>558</v>
      </c>
      <c r="K1185">
        <v>7736.36</v>
      </c>
      <c r="L1185">
        <v>25166.68</v>
      </c>
      <c r="M1185">
        <v>4.47</v>
      </c>
      <c r="N1185">
        <v>4.5199999999999996</v>
      </c>
      <c r="O1185">
        <v>0.63</v>
      </c>
      <c r="P1185">
        <v>13.86</v>
      </c>
      <c r="Q1185">
        <v>3.25</v>
      </c>
      <c r="R1185">
        <v>225.3</v>
      </c>
    </row>
    <row r="1186" spans="1:18" x14ac:dyDescent="0.3">
      <c r="A1186" t="s">
        <v>2400</v>
      </c>
      <c r="B1186" t="s">
        <v>2401</v>
      </c>
      <c r="C1186" t="s">
        <v>20</v>
      </c>
      <c r="D1186" t="s">
        <v>34</v>
      </c>
      <c r="E1186" t="s">
        <v>26</v>
      </c>
      <c r="F1186" s="1">
        <v>45329</v>
      </c>
      <c r="G1186" s="1">
        <v>45356</v>
      </c>
      <c r="H1186">
        <v>221502</v>
      </c>
      <c r="I1186">
        <v>6933</v>
      </c>
      <c r="J1186">
        <v>416</v>
      </c>
      <c r="K1186">
        <v>14069.28</v>
      </c>
      <c r="L1186">
        <v>74705.740000000005</v>
      </c>
      <c r="M1186">
        <v>3.13</v>
      </c>
      <c r="N1186">
        <v>6.01</v>
      </c>
      <c r="O1186">
        <v>2.0299999999999998</v>
      </c>
      <c r="P1186">
        <v>33.82</v>
      </c>
      <c r="Q1186">
        <v>5.31</v>
      </c>
      <c r="R1186">
        <v>430.98</v>
      </c>
    </row>
    <row r="1187" spans="1:18" x14ac:dyDescent="0.3">
      <c r="A1187" t="s">
        <v>2402</v>
      </c>
      <c r="B1187" t="s">
        <v>2403</v>
      </c>
      <c r="C1187" t="s">
        <v>20</v>
      </c>
      <c r="D1187" t="s">
        <v>30</v>
      </c>
      <c r="E1187" t="s">
        <v>26</v>
      </c>
      <c r="F1187" s="1">
        <v>45612</v>
      </c>
      <c r="G1187" s="1">
        <v>45621</v>
      </c>
      <c r="H1187">
        <v>419677</v>
      </c>
      <c r="I1187">
        <v>23837</v>
      </c>
      <c r="J1187">
        <v>1408</v>
      </c>
      <c r="K1187">
        <v>21828.62</v>
      </c>
      <c r="L1187">
        <v>108599.28</v>
      </c>
      <c r="M1187">
        <v>5.68</v>
      </c>
      <c r="N1187">
        <v>5.91</v>
      </c>
      <c r="O1187">
        <v>0.92</v>
      </c>
      <c r="P1187">
        <v>15.5</v>
      </c>
      <c r="Q1187">
        <v>4.9800000000000004</v>
      </c>
      <c r="R1187">
        <v>397.51</v>
      </c>
    </row>
    <row r="1188" spans="1:18" x14ac:dyDescent="0.3">
      <c r="A1188" t="s">
        <v>2404</v>
      </c>
      <c r="B1188" t="s">
        <v>2405</v>
      </c>
      <c r="C1188" t="s">
        <v>20</v>
      </c>
      <c r="D1188" t="s">
        <v>34</v>
      </c>
      <c r="E1188" t="s">
        <v>41</v>
      </c>
      <c r="F1188" s="1">
        <v>45369</v>
      </c>
      <c r="G1188" s="1">
        <v>45407</v>
      </c>
      <c r="H1188">
        <v>357412</v>
      </c>
      <c r="I1188">
        <v>14296</v>
      </c>
      <c r="J1188">
        <v>1380</v>
      </c>
      <c r="K1188">
        <v>18466.95</v>
      </c>
      <c r="L1188">
        <v>58979.51</v>
      </c>
      <c r="M1188">
        <v>4</v>
      </c>
      <c r="N1188">
        <v>9.66</v>
      </c>
      <c r="O1188">
        <v>1.29</v>
      </c>
      <c r="P1188">
        <v>13.38</v>
      </c>
      <c r="Q1188">
        <v>3.19</v>
      </c>
      <c r="R1188">
        <v>219.38</v>
      </c>
    </row>
    <row r="1189" spans="1:18" x14ac:dyDescent="0.3">
      <c r="A1189" t="s">
        <v>2406</v>
      </c>
      <c r="B1189" t="s">
        <v>2407</v>
      </c>
      <c r="C1189" t="s">
        <v>29</v>
      </c>
      <c r="D1189" t="s">
        <v>30</v>
      </c>
      <c r="E1189" t="s">
        <v>22</v>
      </c>
      <c r="F1189" s="1">
        <v>45401</v>
      </c>
      <c r="G1189" s="1">
        <v>45408</v>
      </c>
      <c r="H1189">
        <v>119096</v>
      </c>
      <c r="I1189">
        <v>2501</v>
      </c>
      <c r="J1189">
        <v>159</v>
      </c>
      <c r="K1189">
        <v>17262.490000000002</v>
      </c>
      <c r="L1189">
        <v>101109.95</v>
      </c>
      <c r="M1189">
        <v>2.1</v>
      </c>
      <c r="N1189">
        <v>6.38</v>
      </c>
      <c r="O1189">
        <v>6.9</v>
      </c>
      <c r="P1189">
        <v>108.57</v>
      </c>
      <c r="Q1189">
        <v>5.86</v>
      </c>
      <c r="R1189">
        <v>485.72</v>
      </c>
    </row>
    <row r="1190" spans="1:18" x14ac:dyDescent="0.3">
      <c r="A1190" t="s">
        <v>2408</v>
      </c>
      <c r="B1190" t="s">
        <v>2409</v>
      </c>
      <c r="C1190" t="s">
        <v>25</v>
      </c>
      <c r="D1190" t="s">
        <v>21</v>
      </c>
      <c r="E1190" t="s">
        <v>38</v>
      </c>
      <c r="F1190" s="1">
        <v>45606</v>
      </c>
      <c r="G1190" s="1">
        <v>45637</v>
      </c>
      <c r="H1190">
        <v>342414</v>
      </c>
      <c r="I1190">
        <v>6300</v>
      </c>
      <c r="J1190">
        <v>628</v>
      </c>
      <c r="K1190">
        <v>4621</v>
      </c>
      <c r="L1190">
        <v>23548.23</v>
      </c>
      <c r="M1190">
        <v>1.84</v>
      </c>
      <c r="N1190">
        <v>9.9700000000000006</v>
      </c>
      <c r="O1190">
        <v>0.73</v>
      </c>
      <c r="P1190">
        <v>7.36</v>
      </c>
      <c r="Q1190">
        <v>5.0999999999999996</v>
      </c>
      <c r="R1190">
        <v>409.59</v>
      </c>
    </row>
    <row r="1191" spans="1:18" x14ac:dyDescent="0.3">
      <c r="A1191" t="s">
        <v>2410</v>
      </c>
      <c r="B1191" t="s">
        <v>2411</v>
      </c>
      <c r="C1191" t="s">
        <v>37</v>
      </c>
      <c r="D1191" t="s">
        <v>34</v>
      </c>
      <c r="E1191" t="s">
        <v>22</v>
      </c>
      <c r="F1191" s="1">
        <v>45441</v>
      </c>
      <c r="G1191" s="1">
        <v>45479</v>
      </c>
      <c r="H1191">
        <v>303877</v>
      </c>
      <c r="I1191">
        <v>21818</v>
      </c>
      <c r="J1191">
        <v>3826</v>
      </c>
      <c r="K1191">
        <v>4450.5</v>
      </c>
      <c r="L1191">
        <v>25737.75</v>
      </c>
      <c r="M1191">
        <v>7.18</v>
      </c>
      <c r="N1191">
        <v>17.54</v>
      </c>
      <c r="O1191">
        <v>0.2</v>
      </c>
      <c r="P1191">
        <v>1.1599999999999999</v>
      </c>
      <c r="Q1191">
        <v>5.78</v>
      </c>
      <c r="R1191">
        <v>478.31</v>
      </c>
    </row>
    <row r="1192" spans="1:18" x14ac:dyDescent="0.3">
      <c r="A1192" t="s">
        <v>2412</v>
      </c>
      <c r="B1192" t="s">
        <v>2413</v>
      </c>
      <c r="C1192" t="s">
        <v>25</v>
      </c>
      <c r="D1192" t="s">
        <v>30</v>
      </c>
      <c r="E1192" t="s">
        <v>31</v>
      </c>
      <c r="F1192" s="1">
        <v>45439</v>
      </c>
      <c r="G1192" s="1">
        <v>45472</v>
      </c>
      <c r="H1192">
        <v>237237</v>
      </c>
      <c r="I1192">
        <v>4080</v>
      </c>
      <c r="J1192">
        <v>288</v>
      </c>
      <c r="K1192">
        <v>7502.89</v>
      </c>
      <c r="L1192">
        <v>47516.82</v>
      </c>
      <c r="M1192">
        <v>1.72</v>
      </c>
      <c r="N1192">
        <v>7.07</v>
      </c>
      <c r="O1192">
        <v>1.84</v>
      </c>
      <c r="P1192">
        <v>26.05</v>
      </c>
      <c r="Q1192">
        <v>6.33</v>
      </c>
      <c r="R1192">
        <v>533.30999999999995</v>
      </c>
    </row>
    <row r="1193" spans="1:18" x14ac:dyDescent="0.3">
      <c r="A1193" t="s">
        <v>2414</v>
      </c>
      <c r="B1193" t="s">
        <v>2415</v>
      </c>
      <c r="C1193" t="s">
        <v>25</v>
      </c>
      <c r="D1193" t="s">
        <v>57</v>
      </c>
      <c r="E1193" t="s">
        <v>41</v>
      </c>
      <c r="F1193" s="1">
        <v>45469</v>
      </c>
      <c r="G1193" s="1">
        <v>45501</v>
      </c>
      <c r="H1193">
        <v>397297</v>
      </c>
      <c r="I1193">
        <v>6038</v>
      </c>
      <c r="J1193">
        <v>376</v>
      </c>
      <c r="K1193">
        <v>19301.05</v>
      </c>
      <c r="L1193">
        <v>95979.45</v>
      </c>
      <c r="M1193">
        <v>1.52</v>
      </c>
      <c r="N1193">
        <v>6.23</v>
      </c>
      <c r="O1193">
        <v>3.2</v>
      </c>
      <c r="P1193">
        <v>51.33</v>
      </c>
      <c r="Q1193">
        <v>4.97</v>
      </c>
      <c r="R1193">
        <v>397.28</v>
      </c>
    </row>
    <row r="1194" spans="1:18" x14ac:dyDescent="0.3">
      <c r="A1194" t="s">
        <v>2416</v>
      </c>
      <c r="B1194" t="s">
        <v>2417</v>
      </c>
      <c r="C1194" t="s">
        <v>29</v>
      </c>
      <c r="D1194" t="s">
        <v>30</v>
      </c>
      <c r="E1194" t="s">
        <v>38</v>
      </c>
      <c r="F1194" s="1">
        <v>45501</v>
      </c>
      <c r="G1194" s="1">
        <v>45511</v>
      </c>
      <c r="H1194">
        <v>365127</v>
      </c>
      <c r="I1194">
        <v>10004</v>
      </c>
      <c r="J1194">
        <v>317</v>
      </c>
      <c r="K1194">
        <v>7363.95</v>
      </c>
      <c r="L1194">
        <v>31544.9</v>
      </c>
      <c r="M1194">
        <v>2.74</v>
      </c>
      <c r="N1194">
        <v>3.17</v>
      </c>
      <c r="O1194">
        <v>0.74</v>
      </c>
      <c r="P1194">
        <v>23.23</v>
      </c>
      <c r="Q1194">
        <v>4.28</v>
      </c>
      <c r="R1194">
        <v>328.37</v>
      </c>
    </row>
    <row r="1195" spans="1:18" x14ac:dyDescent="0.3">
      <c r="A1195" t="s">
        <v>2418</v>
      </c>
      <c r="B1195" t="s">
        <v>2419</v>
      </c>
      <c r="C1195" t="s">
        <v>37</v>
      </c>
      <c r="D1195" t="s">
        <v>57</v>
      </c>
      <c r="E1195" t="s">
        <v>22</v>
      </c>
      <c r="F1195" s="1">
        <v>45319</v>
      </c>
      <c r="G1195" s="1">
        <v>45343</v>
      </c>
      <c r="H1195">
        <v>403888</v>
      </c>
      <c r="I1195">
        <v>23869</v>
      </c>
      <c r="J1195">
        <v>2842</v>
      </c>
      <c r="K1195">
        <v>2488.7800000000002</v>
      </c>
      <c r="L1195">
        <v>9442.58</v>
      </c>
      <c r="M1195">
        <v>5.91</v>
      </c>
      <c r="N1195">
        <v>11.91</v>
      </c>
      <c r="O1195">
        <v>0.1</v>
      </c>
      <c r="P1195">
        <v>0.88</v>
      </c>
      <c r="Q1195">
        <v>3.79</v>
      </c>
      <c r="R1195">
        <v>279.41000000000003</v>
      </c>
    </row>
    <row r="1196" spans="1:18" x14ac:dyDescent="0.3">
      <c r="A1196" t="s">
        <v>2420</v>
      </c>
      <c r="B1196" t="s">
        <v>2421</v>
      </c>
      <c r="C1196" t="s">
        <v>25</v>
      </c>
      <c r="D1196" t="s">
        <v>34</v>
      </c>
      <c r="E1196" t="s">
        <v>22</v>
      </c>
      <c r="F1196" s="1">
        <v>45377</v>
      </c>
      <c r="G1196" s="1">
        <v>45418</v>
      </c>
      <c r="H1196">
        <v>383586</v>
      </c>
      <c r="I1196">
        <v>8400</v>
      </c>
      <c r="J1196">
        <v>601</v>
      </c>
      <c r="K1196">
        <v>10556.98</v>
      </c>
      <c r="L1196">
        <v>48311.65</v>
      </c>
      <c r="M1196">
        <v>2.19</v>
      </c>
      <c r="N1196">
        <v>7.16</v>
      </c>
      <c r="O1196">
        <v>1.26</v>
      </c>
      <c r="P1196">
        <v>17.57</v>
      </c>
      <c r="Q1196">
        <v>4.58</v>
      </c>
      <c r="R1196">
        <v>357.63</v>
      </c>
    </row>
    <row r="1197" spans="1:18" x14ac:dyDescent="0.3">
      <c r="A1197" t="s">
        <v>2422</v>
      </c>
      <c r="B1197" t="s">
        <v>2423</v>
      </c>
      <c r="C1197" t="s">
        <v>29</v>
      </c>
      <c r="D1197" t="s">
        <v>21</v>
      </c>
      <c r="E1197" t="s">
        <v>31</v>
      </c>
      <c r="F1197" s="1">
        <v>45486</v>
      </c>
      <c r="G1197" s="1">
        <v>45498</v>
      </c>
      <c r="H1197">
        <v>370209</v>
      </c>
      <c r="I1197">
        <v>9218</v>
      </c>
      <c r="J1197">
        <v>462</v>
      </c>
      <c r="K1197">
        <v>3298.8</v>
      </c>
      <c r="L1197">
        <v>17318.8</v>
      </c>
      <c r="M1197">
        <v>2.4900000000000002</v>
      </c>
      <c r="N1197">
        <v>5.0199999999999996</v>
      </c>
      <c r="O1197">
        <v>0.36</v>
      </c>
      <c r="P1197">
        <v>7.14</v>
      </c>
      <c r="Q1197">
        <v>5.25</v>
      </c>
      <c r="R1197">
        <v>425</v>
      </c>
    </row>
    <row r="1198" spans="1:18" x14ac:dyDescent="0.3">
      <c r="A1198" t="s">
        <v>2424</v>
      </c>
      <c r="B1198" t="s">
        <v>2425</v>
      </c>
      <c r="C1198" t="s">
        <v>44</v>
      </c>
      <c r="D1198" t="s">
        <v>57</v>
      </c>
      <c r="E1198" t="s">
        <v>31</v>
      </c>
      <c r="F1198" s="1">
        <v>45372</v>
      </c>
      <c r="G1198" s="1">
        <v>45413</v>
      </c>
      <c r="H1198">
        <v>83273</v>
      </c>
      <c r="I1198">
        <v>2414</v>
      </c>
      <c r="J1198">
        <v>80</v>
      </c>
      <c r="K1198">
        <v>7026.22</v>
      </c>
      <c r="L1198">
        <v>20326.71</v>
      </c>
      <c r="M1198">
        <v>2.9</v>
      </c>
      <c r="N1198">
        <v>3.32</v>
      </c>
      <c r="O1198">
        <v>2.91</v>
      </c>
      <c r="P1198">
        <v>87.83</v>
      </c>
      <c r="Q1198">
        <v>2.89</v>
      </c>
      <c r="R1198">
        <v>189.3</v>
      </c>
    </row>
    <row r="1199" spans="1:18" x14ac:dyDescent="0.3">
      <c r="A1199" t="s">
        <v>2426</v>
      </c>
      <c r="B1199" t="s">
        <v>2427</v>
      </c>
      <c r="C1199" t="s">
        <v>25</v>
      </c>
      <c r="D1199" t="s">
        <v>34</v>
      </c>
      <c r="E1199" t="s">
        <v>22</v>
      </c>
      <c r="F1199" s="1">
        <v>45419</v>
      </c>
      <c r="G1199" s="1">
        <v>45426</v>
      </c>
      <c r="H1199">
        <v>470104</v>
      </c>
      <c r="I1199">
        <v>5030</v>
      </c>
      <c r="J1199">
        <v>383</v>
      </c>
      <c r="K1199">
        <v>10614.32</v>
      </c>
      <c r="L1199">
        <v>47640.04</v>
      </c>
      <c r="M1199">
        <v>1.07</v>
      </c>
      <c r="N1199">
        <v>7.62</v>
      </c>
      <c r="O1199">
        <v>2.11</v>
      </c>
      <c r="P1199">
        <v>27.71</v>
      </c>
      <c r="Q1199">
        <v>4.49</v>
      </c>
      <c r="R1199">
        <v>348.83</v>
      </c>
    </row>
    <row r="1200" spans="1:18" x14ac:dyDescent="0.3">
      <c r="A1200" t="s">
        <v>2428</v>
      </c>
      <c r="B1200" t="s">
        <v>2429</v>
      </c>
      <c r="C1200" t="s">
        <v>20</v>
      </c>
      <c r="D1200" t="s">
        <v>21</v>
      </c>
      <c r="E1200" t="s">
        <v>31</v>
      </c>
      <c r="F1200" s="1">
        <v>45304</v>
      </c>
      <c r="G1200" s="1">
        <v>45325</v>
      </c>
      <c r="H1200">
        <v>103750</v>
      </c>
      <c r="I1200">
        <v>4679</v>
      </c>
      <c r="J1200">
        <v>409</v>
      </c>
      <c r="K1200">
        <v>5845.7</v>
      </c>
      <c r="L1200">
        <v>19138.259999999998</v>
      </c>
      <c r="M1200">
        <v>4.51</v>
      </c>
      <c r="N1200">
        <v>8.75</v>
      </c>
      <c r="O1200">
        <v>1.25</v>
      </c>
      <c r="P1200">
        <v>14.29</v>
      </c>
      <c r="Q1200">
        <v>3.27</v>
      </c>
      <c r="R1200">
        <v>227.39</v>
      </c>
    </row>
    <row r="1201" spans="1:18" x14ac:dyDescent="0.3">
      <c r="A1201" t="s">
        <v>2430</v>
      </c>
      <c r="B1201" t="s">
        <v>2431</v>
      </c>
      <c r="C1201" t="s">
        <v>29</v>
      </c>
      <c r="D1201" t="s">
        <v>21</v>
      </c>
      <c r="E1201" t="s">
        <v>22</v>
      </c>
      <c r="F1201" s="1">
        <v>45430</v>
      </c>
      <c r="G1201" s="1">
        <v>45442</v>
      </c>
      <c r="H1201">
        <v>443171</v>
      </c>
      <c r="I1201">
        <v>8287</v>
      </c>
      <c r="J1201">
        <v>490</v>
      </c>
      <c r="K1201">
        <v>12829.14</v>
      </c>
      <c r="L1201">
        <v>33232.21</v>
      </c>
      <c r="M1201">
        <v>1.87</v>
      </c>
      <c r="N1201">
        <v>5.92</v>
      </c>
      <c r="O1201">
        <v>1.55</v>
      </c>
      <c r="P1201">
        <v>26.18</v>
      </c>
      <c r="Q1201">
        <v>2.59</v>
      </c>
      <c r="R1201">
        <v>159.04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015E-EE05-4593-ABD9-0380484C0983}">
  <dimension ref="A3:B9"/>
  <sheetViews>
    <sheetView workbookViewId="0">
      <selection activeCell="B28" sqref="B28"/>
    </sheetView>
  </sheetViews>
  <sheetFormatPr defaultRowHeight="14.4" x14ac:dyDescent="0.3"/>
  <cols>
    <col min="1" max="1" width="14.21875" bestFit="1" customWidth="1"/>
    <col min="2" max="2" width="14.44140625" bestFit="1" customWidth="1"/>
  </cols>
  <sheetData>
    <row r="3" spans="1:2" x14ac:dyDescent="0.3">
      <c r="A3" s="4" t="s">
        <v>2432</v>
      </c>
      <c r="B3" t="s">
        <v>2434</v>
      </c>
    </row>
    <row r="4" spans="1:2" x14ac:dyDescent="0.3">
      <c r="A4" s="5" t="s">
        <v>20</v>
      </c>
      <c r="B4" s="6">
        <v>13780660.710000005</v>
      </c>
    </row>
    <row r="5" spans="1:2" x14ac:dyDescent="0.3">
      <c r="A5" s="5" t="s">
        <v>25</v>
      </c>
      <c r="B5" s="6">
        <v>13472427.079999996</v>
      </c>
    </row>
    <row r="6" spans="1:2" x14ac:dyDescent="0.3">
      <c r="A6" s="5" t="s">
        <v>29</v>
      </c>
      <c r="B6" s="6">
        <v>10720061.24</v>
      </c>
    </row>
    <row r="7" spans="1:2" x14ac:dyDescent="0.3">
      <c r="A7" s="5" t="s">
        <v>44</v>
      </c>
      <c r="B7" s="6">
        <v>8848766.0600000024</v>
      </c>
    </row>
    <row r="8" spans="1:2" x14ac:dyDescent="0.3">
      <c r="A8" s="5" t="s">
        <v>37</v>
      </c>
      <c r="B8" s="6">
        <v>2806538.0500000017</v>
      </c>
    </row>
    <row r="9" spans="1:2" x14ac:dyDescent="0.3">
      <c r="A9" s="5" t="s">
        <v>2433</v>
      </c>
      <c r="B9" s="6">
        <v>49628453.140000008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2D17-3ADC-49A4-B682-32B01365465E}">
  <dimension ref="A3:B9"/>
  <sheetViews>
    <sheetView workbookViewId="0">
      <selection activeCell="B4" sqref="B4"/>
    </sheetView>
  </sheetViews>
  <sheetFormatPr defaultRowHeight="14.4" x14ac:dyDescent="0.3"/>
  <cols>
    <col min="1" max="1" width="14.21875" bestFit="1" customWidth="1"/>
    <col min="2" max="2" width="15.77734375" bestFit="1" customWidth="1"/>
  </cols>
  <sheetData>
    <row r="3" spans="1:2" x14ac:dyDescent="0.3">
      <c r="A3" s="4" t="s">
        <v>2432</v>
      </c>
      <c r="B3" t="s">
        <v>2435</v>
      </c>
    </row>
    <row r="4" spans="1:2" x14ac:dyDescent="0.3">
      <c r="A4" s="5" t="s">
        <v>20</v>
      </c>
      <c r="B4" s="6">
        <v>3273460.9100000006</v>
      </c>
    </row>
    <row r="5" spans="1:2" x14ac:dyDescent="0.3">
      <c r="A5" s="5" t="s">
        <v>25</v>
      </c>
      <c r="B5" s="6">
        <v>3191261.1700000023</v>
      </c>
    </row>
    <row r="6" spans="1:2" x14ac:dyDescent="0.3">
      <c r="A6" s="5" t="s">
        <v>29</v>
      </c>
      <c r="B6" s="6">
        <v>2491232.2999999993</v>
      </c>
    </row>
    <row r="7" spans="1:2" x14ac:dyDescent="0.3">
      <c r="A7" s="5" t="s">
        <v>44</v>
      </c>
      <c r="B7" s="6">
        <v>2034148.9799999995</v>
      </c>
    </row>
    <row r="8" spans="1:2" x14ac:dyDescent="0.3">
      <c r="A8" s="5" t="s">
        <v>37</v>
      </c>
      <c r="B8" s="6">
        <v>673941.2200000002</v>
      </c>
    </row>
    <row r="9" spans="1:2" x14ac:dyDescent="0.3">
      <c r="A9" s="5" t="s">
        <v>2433</v>
      </c>
      <c r="B9" s="6">
        <v>11664044.580000002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F737-1A24-4238-A4EF-355ED9CC7B52}">
  <dimension ref="A3:B9"/>
  <sheetViews>
    <sheetView workbookViewId="0">
      <selection activeCell="D13" sqref="D13"/>
    </sheetView>
  </sheetViews>
  <sheetFormatPr defaultRowHeight="14.4" x14ac:dyDescent="0.3"/>
  <cols>
    <col min="1" max="1" width="14.21875" bestFit="1" customWidth="1"/>
    <col min="2" max="2" width="20.44140625" bestFit="1" customWidth="1"/>
  </cols>
  <sheetData>
    <row r="3" spans="1:2" x14ac:dyDescent="0.3">
      <c r="A3" s="4" t="s">
        <v>2432</v>
      </c>
      <c r="B3" t="s">
        <v>2436</v>
      </c>
    </row>
    <row r="4" spans="1:2" x14ac:dyDescent="0.3">
      <c r="A4" s="5" t="s">
        <v>37</v>
      </c>
      <c r="B4" s="3">
        <v>321.33609756097559</v>
      </c>
    </row>
    <row r="5" spans="1:2" x14ac:dyDescent="0.3">
      <c r="A5" s="5" t="s">
        <v>29</v>
      </c>
      <c r="B5" s="3">
        <v>331.16341880341855</v>
      </c>
    </row>
    <row r="6" spans="1:2" x14ac:dyDescent="0.3">
      <c r="A6" s="5" t="s">
        <v>20</v>
      </c>
      <c r="B6" s="3">
        <v>321.29173515981739</v>
      </c>
    </row>
    <row r="7" spans="1:2" x14ac:dyDescent="0.3">
      <c r="A7" s="5" t="s">
        <v>44</v>
      </c>
      <c r="B7" s="3">
        <v>334.15736170212756</v>
      </c>
    </row>
    <row r="8" spans="1:2" x14ac:dyDescent="0.3">
      <c r="A8" s="5" t="s">
        <v>25</v>
      </c>
      <c r="B8" s="3">
        <v>320.14214285714269</v>
      </c>
    </row>
    <row r="9" spans="1:2" x14ac:dyDescent="0.3">
      <c r="A9" s="5" t="s">
        <v>2433</v>
      </c>
      <c r="B9" s="6">
        <v>325.49049999999988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 campaigns</vt:lpstr>
      <vt:lpstr>PIVOT1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abhogam7@gmail.com</cp:lastModifiedBy>
  <dcterms:created xsi:type="dcterms:W3CDTF">2026-05-08T07:31:13Z</dcterms:created>
  <dcterms:modified xsi:type="dcterms:W3CDTF">2026-05-08T16:04:37Z</dcterms:modified>
</cp:coreProperties>
</file>